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8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9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0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1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2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3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5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6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7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8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.xml" ContentType="application/vnd.openxmlformats-officedocument.drawing+xml"/>
  <Override PartName="/xl/charts/chart29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0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1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2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3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4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5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4.xml" ContentType="application/vnd.openxmlformats-officedocument.drawing+xml"/>
  <Override PartName="/xl/charts/chart36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37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38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39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0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1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2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3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5.xml" ContentType="application/vnd.openxmlformats-officedocument.drawing+xml"/>
  <Override PartName="/xl/charts/chart44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5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6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47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48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49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0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1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2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3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4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5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6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57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58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59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0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6.xml" ContentType="application/vnd.openxmlformats-officedocument.drawing+xml"/>
  <Override PartName="/xl/charts/chart61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2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3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4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5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6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67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68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69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_y/Desktop/imágenes informe gem 25-26/JAIME/"/>
    </mc:Choice>
  </mc:AlternateContent>
  <xr:revisionPtr revIDLastSave="0" documentId="13_ncr:1_{1F85EC89-D789-2B4E-960B-CDF2078CAD41}" xr6:coauthVersionLast="47" xr6:coauthVersionMax="47" xr10:uidLastSave="{00000000-0000-0000-0000-000000000000}"/>
  <bookViews>
    <workbookView xWindow="0" yWindow="660" windowWidth="29400" windowHeight="16200" activeTab="5" xr2:uid="{02F1BB2E-D4C8-4E45-9B88-3A7C5C69F2D4}"/>
  </bookViews>
  <sheets>
    <sheet name="APS 2025 C1" sheetId="1" r:id="rId1"/>
    <sheet name="NES 2025 C1" sheetId="4" r:id="rId2"/>
    <sheet name="APS 2025 C2 - EXTREMADURA" sheetId="2" r:id="rId3"/>
    <sheet name="APS 2025 C3" sheetId="5" r:id="rId4"/>
    <sheet name="APS 2025 C3.2" sheetId="6" r:id="rId5"/>
    <sheet name="APS 2025 C4" sheetId="7" r:id="rId6"/>
  </sheets>
  <definedNames>
    <definedName name="_xlchart.v5.0" hidden="1">'APS 2025 C1'!$A$154</definedName>
    <definedName name="_xlchart.v5.1" hidden="1">'APS 2025 C1'!$A$155:$A$171</definedName>
    <definedName name="_xlchart.v5.10" hidden="1">'APS 2025 C1'!$C$154</definedName>
    <definedName name="_xlchart.v5.11" hidden="1">'APS 2025 C1'!$C$155:$C$171</definedName>
    <definedName name="_xlchart.v5.12" hidden="1">'APS 2025 C1'!$A$154</definedName>
    <definedName name="_xlchart.v5.13" hidden="1">'APS 2025 C1'!$A$155:$A$171</definedName>
    <definedName name="_xlchart.v5.14" hidden="1">'APS 2025 C1'!$D$154</definedName>
    <definedName name="_xlchart.v5.15" hidden="1">'APS 2025 C1'!$D$155:$D$171</definedName>
    <definedName name="_xlchart.v5.2" hidden="1">'APS 2025 C1'!$E$154</definedName>
    <definedName name="_xlchart.v5.3" hidden="1">'APS 2025 C1'!$E$155:$E$171</definedName>
    <definedName name="_xlchart.v5.4" hidden="1">'APS 2025 C1'!$A$154</definedName>
    <definedName name="_xlchart.v5.5" hidden="1">'APS 2025 C1'!$A$155:$A$172</definedName>
    <definedName name="_xlchart.v5.6" hidden="1">'APS 2025 C1'!$B$154</definedName>
    <definedName name="_xlchart.v5.7" hidden="1">'APS 2025 C1'!$B$155:$B$172</definedName>
    <definedName name="_xlchart.v5.8" hidden="1">'APS 2025 C1'!$A$154</definedName>
    <definedName name="_xlchart.v5.9" hidden="1">'APS 2025 C1'!$A$155:$A$171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8" i="2" l="1"/>
</calcChain>
</file>

<file path=xl/sharedStrings.xml><?xml version="1.0" encoding="utf-8"?>
<sst xmlns="http://schemas.openxmlformats.org/spreadsheetml/2006/main" count="906" uniqueCount="419">
  <si>
    <t>Conoce empresario con empresa en los ultimos 2 años (KNOWEN25)</t>
  </si>
  <si>
    <t xml:space="preserve">AÑOS </t>
  </si>
  <si>
    <t>Población involucrada</t>
  </si>
  <si>
    <t>Población no involucrada</t>
  </si>
  <si>
    <t>CAPÍTULO 1</t>
  </si>
  <si>
    <t>BUENAS OPORTUNIDADES EN 6 MESES (OPPORT25)</t>
  </si>
  <si>
    <t>AÑOS</t>
  </si>
  <si>
    <t>CONOCIMIENTOS Y HABILIDAD (SUSKIL25)</t>
  </si>
  <si>
    <t>MIEDO AL FRACASO (FRFAIL25)</t>
  </si>
  <si>
    <t>Mujer</t>
  </si>
  <si>
    <t>Hombre</t>
  </si>
  <si>
    <t>Total</t>
  </si>
  <si>
    <t>Expects to start-up in the next 3 years (FUTSUP25)</t>
  </si>
  <si>
    <t>Sí</t>
  </si>
  <si>
    <t>No</t>
  </si>
  <si>
    <t>Involved in Total early-stage Entrepreneurial Activity (TEA25)</t>
  </si>
  <si>
    <t xml:space="preserve">Sí </t>
  </si>
  <si>
    <t>TEA 2025: Stage of activity</t>
  </si>
  <si>
    <t>Manages and owns a business that is older than 42 months (ESTBBUSO25)</t>
  </si>
  <si>
    <t>Q3B.  Have you, in the past 12 months, sold, shut down, discontinued or quit a business you owned and managed, any form of self-employment, or selling goods or services to anyone? (discent)</t>
  </si>
  <si>
    <t>Q3C1.  Did the business continue its business activities after you quit?</t>
  </si>
  <si>
    <t>Continúa con otra actividad</t>
  </si>
  <si>
    <t>Discontinued a business in the past 12 months, business was NOT continued</t>
  </si>
  <si>
    <t>Q3C2.  What was the most important reason for quitting this business?</t>
  </si>
  <si>
    <t>An opportunity to sell the business</t>
  </si>
  <si>
    <t>The business was not profitable</t>
  </si>
  <si>
    <t>Problems getting finance</t>
  </si>
  <si>
    <t>Another job</t>
  </si>
  <si>
    <t>Retirement</t>
  </si>
  <si>
    <t>Family or personal reasons</t>
  </si>
  <si>
    <t>Government‎/tax policy‎/bureaucracy</t>
  </si>
  <si>
    <t>Another business opportunity</t>
  </si>
  <si>
    <t>Conflict between business partners</t>
  </si>
  <si>
    <t>Crime (shoplifting, cyber, internal etc.)</t>
  </si>
  <si>
    <t>Emprendedor naciente</t>
  </si>
  <si>
    <t>Baby business</t>
  </si>
  <si>
    <t>Para hacer una diferencia en el mundo</t>
  </si>
  <si>
    <t xml:space="preserve">Para ganar más dinero </t>
  </si>
  <si>
    <t>Para continuar con una tradición familiar</t>
  </si>
  <si>
    <t>Para tener un salario porque no hay trabajo</t>
  </si>
  <si>
    <t>Extremadura</t>
  </si>
  <si>
    <t>España</t>
  </si>
  <si>
    <t>Buenas oportunidades en los próximos 6 meses</t>
  </si>
  <si>
    <t>Conocimientos, habilidades y experiencia para emprender</t>
  </si>
  <si>
    <t>Miedo al fracaso</t>
  </si>
  <si>
    <t>Conoce empresario que crea una empresa en los últimos 2 años</t>
  </si>
  <si>
    <t>Emprender es una buena opción profesional</t>
  </si>
  <si>
    <t>Difusión del emprendimiento en medios de comunicación</t>
  </si>
  <si>
    <t>Triunfar con una empresa proporciona buen status social</t>
  </si>
  <si>
    <t>Facilidad para iniciar un negocio</t>
  </si>
  <si>
    <t>Extremadura 2025</t>
  </si>
  <si>
    <t>Cáceres</t>
  </si>
  <si>
    <t>Badajoz</t>
  </si>
  <si>
    <t>CAPÍTULO 3</t>
  </si>
  <si>
    <t>CAPÍTULO 3 -BADAJOZ</t>
  </si>
  <si>
    <t>CAPÍTULO 3 - CÁCERES</t>
  </si>
  <si>
    <t>ESPAÑA</t>
  </si>
  <si>
    <t>EXTREMADURA</t>
  </si>
  <si>
    <t>Programas gubernamentales</t>
  </si>
  <si>
    <t>Acceso a infraestructura física y de servicios</t>
  </si>
  <si>
    <t>Acceso a infraestructura comercial y profesional</t>
  </si>
  <si>
    <t>Políticas gubernamentales (emprendimiento como prioridad y su apoyo)</t>
  </si>
  <si>
    <t>Educación y formación emprendedora (Etapa post)</t>
  </si>
  <si>
    <t>Transferencia de I+D</t>
  </si>
  <si>
    <t>Políticas gubernamentales (burocracia e impuestos)</t>
  </si>
  <si>
    <t>Facilidad para acceder a la financiación para los emprendedores</t>
  </si>
  <si>
    <t>Dinámica del mercado interno</t>
  </si>
  <si>
    <t>Barreras de acceso al mercado interno</t>
  </si>
  <si>
    <t>Financiación para emprendedores</t>
  </si>
  <si>
    <t>Normas sociales y culturales</t>
  </si>
  <si>
    <t>Educación y formación emprendedora (Etapa escolar)</t>
  </si>
  <si>
    <t>EXTREMADURA 2024</t>
  </si>
  <si>
    <t>EXTREMADURA 2025</t>
  </si>
  <si>
    <t>BADAJOZ</t>
  </si>
  <si>
    <t>CÁCERES</t>
  </si>
  <si>
    <t>Educación y formación emprendedora (etapa escolar)</t>
  </si>
  <si>
    <t>Políticas gubernamentales: burocracia e impuestos</t>
  </si>
  <si>
    <t>Facilidad para acceder a la financiación de los emprendedores</t>
  </si>
  <si>
    <t>Transferencia de I + D</t>
  </si>
  <si>
    <t xml:space="preserve">Educación y formación emprendedora (etapa post) </t>
  </si>
  <si>
    <t>Políticas gubernamentales: emprendimiento como prioridad y su apoyo</t>
  </si>
  <si>
    <t>VALORACION MEDIA 2024</t>
  </si>
  <si>
    <t>Escala 0-10</t>
  </si>
  <si>
    <t>MUJERES</t>
  </si>
  <si>
    <t>Hay suficientes servicios de apoyo para que las mujeres puedan seguir dirigiendo sus negocios incluso después de haber iniciado una familia</t>
  </si>
  <si>
    <t>Los servicios de apoyo son asequibles para que las mujeres puedan acceder a ellos y las ayude a poder administrar sus negocios incluso después de haber formado una familia.</t>
  </si>
  <si>
    <t>Las regulaciones y estímulos para el emprendimiento son tan favorables que las mujeres prefieren convertirse en emprendedoras en lugar de convertirse en empleadas públicas o privadas</t>
  </si>
  <si>
    <t>La cultura nacional alienta a mujeres y hombres por igual en cuanto a trabajar por cuenta propia o a iniciar un nuevo negocio</t>
  </si>
  <si>
    <t>Los mercados son usualmente más accesibles para los emprendedores masculinos que para los femeninos</t>
  </si>
  <si>
    <t>La contratación / licitación pública es usualmente más accesible para los emprendedores masculinos que para los femeninos</t>
  </si>
  <si>
    <t>El acceso a financiación (de cualquier tipo de Fuente financiera) es usualmente más fácil para los emprendedores masculinos que femeninos</t>
  </si>
  <si>
    <t>Obtener capital semilla (de cualquier tipo de fuente financiera) es usualmente más fácil para los emprendedores nacientes masculinos que femeninos</t>
  </si>
  <si>
    <t>VARIABLES</t>
  </si>
  <si>
    <t>EMPRENDEDOR POTENCIAL</t>
  </si>
  <si>
    <t>FUTSUP24</t>
  </si>
  <si>
    <t>TEA24</t>
  </si>
  <si>
    <t>EMPRENDEDOR NACIENTE</t>
  </si>
  <si>
    <t>NASCENT</t>
  </si>
  <si>
    <t>EMPRENDEDOR NUEVO</t>
  </si>
  <si>
    <t>CONSOLIDADO</t>
  </si>
  <si>
    <t>ESTBBUSO</t>
  </si>
  <si>
    <t>ABANDONO</t>
  </si>
  <si>
    <t>DISCENT</t>
  </si>
  <si>
    <t xml:space="preserve">FIGURATEA </t>
  </si>
  <si>
    <t>EXBUSCON</t>
  </si>
  <si>
    <t>Media Europa</t>
  </si>
  <si>
    <t>VARIABLE</t>
  </si>
  <si>
    <t>Potenciales</t>
  </si>
  <si>
    <t>TEA</t>
  </si>
  <si>
    <t>Establecidas</t>
  </si>
  <si>
    <t>Nuevas</t>
  </si>
  <si>
    <t>Nacientes</t>
  </si>
  <si>
    <t>Babybu24</t>
  </si>
  <si>
    <t>Continúa</t>
  </si>
  <si>
    <t>Cierres</t>
  </si>
  <si>
    <t>Abandono</t>
  </si>
  <si>
    <t>Rural</t>
  </si>
  <si>
    <t>Urbana</t>
  </si>
  <si>
    <t>PROVESP</t>
  </si>
  <si>
    <t>GENDER</t>
  </si>
  <si>
    <t>TEA hombre</t>
  </si>
  <si>
    <t>TEA mujer</t>
  </si>
  <si>
    <t>POTENCIAL</t>
  </si>
  <si>
    <t>EDAD</t>
  </si>
  <si>
    <t>Media EUROPA</t>
  </si>
  <si>
    <t>Knoent25</t>
  </si>
  <si>
    <t>Opport25</t>
  </si>
  <si>
    <t>Suskil25</t>
  </si>
  <si>
    <t>Frfail25</t>
  </si>
  <si>
    <t>Andalucía</t>
  </si>
  <si>
    <t>Aragón</t>
  </si>
  <si>
    <t>Asturias</t>
  </si>
  <si>
    <t>Baleares</t>
  </si>
  <si>
    <t>Cantabria</t>
  </si>
  <si>
    <t>Castilla y León</t>
  </si>
  <si>
    <t>Castilla La Mancha</t>
  </si>
  <si>
    <t>Cataluña</t>
  </si>
  <si>
    <t>Comunidad Valenciana</t>
  </si>
  <si>
    <t>Galicia</t>
  </si>
  <si>
    <t>Comunidad de Madrid</t>
  </si>
  <si>
    <t>Murcia</t>
  </si>
  <si>
    <t>Navarra</t>
  </si>
  <si>
    <t>País Vasco</t>
  </si>
  <si>
    <t>La Rioja</t>
  </si>
  <si>
    <t>UE</t>
  </si>
  <si>
    <t>SOSTENIBILIDAD</t>
  </si>
  <si>
    <t>Las empresas nuevas y en crecimiento priorizan cada vez más su contribución social en lugar de centrarse únicamente en el beneficio económico y la creación de riqueza.</t>
  </si>
  <si>
    <t>Las empresas nuevas y en crecimiento integran principios de responsabilidad social en sus operaciones empresariales.</t>
  </si>
  <si>
    <t>Los inversores están especialmente interesados en financiar nuevas empresas que se centran en la responsabilidad social.</t>
  </si>
  <si>
    <t>Las empresas consideran que pagar impuestos forma parte de su responsabilidad social.</t>
  </si>
  <si>
    <t>Los inversores y otros grupos de interés están satisfechos con el desempeño económico de las empresas en las que han invertido.</t>
  </si>
  <si>
    <t>Las empresas nuevas y en crecimiento fundadas por miembros de grupos minoritarios tienen las mismas oportunidades económicas que otras nuevas empresas.</t>
  </si>
  <si>
    <t>La mayoría de las empresas nuevas y en crecimiento aplican prácticas respetuosas con el medio ambiente al producir productos o prestar servicios.</t>
  </si>
  <si>
    <t>La mayoría de las empresas nuevas y en crecimiento priorizan prácticas de eficiencia energética en sus operaciones.</t>
  </si>
  <si>
    <t>La mayoría de las empresas nuevas y en crecimiento consideran los problemas ambientales como una oportunidad potencial.</t>
  </si>
  <si>
    <t>Las prácticas de sostenibilidad se consideran muy importantes dentro de la cultura empresarial.</t>
  </si>
  <si>
    <t>Existen ejemplos destacados de actividades emprendedoras relacionadas con los Objetivos de Desarrollo Sostenible (ODS) dentro del sector empresarial.</t>
  </si>
  <si>
    <t>El gobierno cuenta con regulaciones específicas que apoyan a las startups orientadas a la sostenibilidad.</t>
  </si>
  <si>
    <t>El gobierno apoya a las empresas orientadas a la sostenibilidad mediante subvenciones, derechos especiales y/o reducciones fiscales.</t>
  </si>
  <si>
    <t>Existe suficiente financiación mediante capital propio (equity) para las empresas nuevas y en crecimiento.</t>
  </si>
  <si>
    <t>Existe suficiente financiación mediante deuda para las empresas nuevas y en crecimiento.</t>
  </si>
  <si>
    <t>Existen suficientes subvenciones gubernamentales para las empresas nuevas y en crecimiento.</t>
  </si>
  <si>
    <t>Existe suficiente financiación procedente de inversores informales (familiares, amigos y colegas), es decir, particulares distintos de los fundadores, para las empresas nuevas y en crecimiento.</t>
  </si>
  <si>
    <t>Existe suficiente financiación procedente de Business Angels profesionales para las empresas nuevas y en crecimiento.</t>
  </si>
  <si>
    <t>Existe suficiente financiación procedente de capital riesgo (venture capital) para las empresas nuevas y en crecimiento.</t>
  </si>
  <si>
    <t>Existe suficiente financiación disponible a través de ofertas públicas iniciales (IPOs) para las empresas nuevas y en crecimiento.</t>
  </si>
  <si>
    <t>Existe suficiente financiación disponible a través de prestamistas privados y plataformas de financiación participativa (crowdfunding) para las empresas nuevas y en crecimiento.</t>
  </si>
  <si>
    <t>Es fácil obtener financiación mediante deuda (préstamos bancarios y similares) para las empresas nuevas y en crecimiento.</t>
  </si>
  <si>
    <t>Es fácil contratar servicios de apoyo financiero a un coste razonable para las empresas nuevas y en crecimiento.</t>
  </si>
  <si>
    <t>Es fácil para los emprendedores en fase inicial obtener suficiente capital semilla para cubrir los gastos de creación y las primeras etapas de una nueva empresa.</t>
  </si>
  <si>
    <t>Es fácil atraer inversores o financiación para hacer crecer una empresa una vez superada la fase inicial de creación.</t>
  </si>
  <si>
    <t xml:space="preserve">FINANCIACIÓN </t>
  </si>
  <si>
    <t>Las políticas gubernamentales (por ejemplo, la contratación pública) favorecen de manera consistente a las nuevas empresas.</t>
  </si>
  <si>
    <t>El apoyo a las empresas nuevas y en crecimiento es una alta prioridad en las políticas del gobierno nacional.</t>
  </si>
  <si>
    <t>El apoyo a las empresas nuevas y en crecimiento es una alta prioridad en las políticas de los gobiernos locales.</t>
  </si>
  <si>
    <t>Los emprendedores pueden registrar nuevas empresas o negocios a un coste razonable.</t>
  </si>
  <si>
    <t>Las nuevas empresas pueden obtener la mayoría de los permisos y licencias necesarios aproximadamente en una semana.</t>
  </si>
  <si>
    <t>La carga fiscal no representa una carga excesiva para las empresas nuevas y en crecimiento.</t>
  </si>
  <si>
    <t>Los impuestos y otras regulaciones gubernamentales se aplican a las empresas nuevas y en crecimiento de manera predecible y consistente.</t>
  </si>
  <si>
    <t>Gestionar la burocracia gubernamental, las regulaciones y los requisitos de licencias no resulta excesivamente difícil para las empresas nuevas y en crecimiento.</t>
  </si>
  <si>
    <t>POLITICAS GUBERNAMENTALES</t>
  </si>
  <si>
    <t>Una amplia gama de ayudas gubernamentales para empresas nuevas y en crecimiento puede obtenerse a través del contacto con una única agencia u organismo.</t>
  </si>
  <si>
    <t>Los parques científicos y tecnológicos y las incubadoras de empresas proporcionan un apoyo eficaz a las empresas nuevas y en crecimiento.</t>
  </si>
  <si>
    <t>Existen incubadoras de empresas disponibles que proporcionan un apoyo eficaz a las empresas nuevas y en crecimiento.</t>
  </si>
  <si>
    <t>Existe un número adecuado de programas gubernamentales para empresas nuevas y en crecimiento.</t>
  </si>
  <si>
    <t>El personal que trabaja en las agencias gubernamentales es competente y eficaz en el apoyo a las empresas nuevas y en crecimiento.</t>
  </si>
  <si>
    <t>Casi cualquier persona que necesite apoyo de un programa gubernamental para una empresa nueva o en crecimiento puede encontrar la ayuda que necesita.</t>
  </si>
  <si>
    <t>Los programas gubernamentales destinados a apoyar a las empresas nuevas y en crecimiento son eficaces.</t>
  </si>
  <si>
    <t>POLITICAS GUBERNAMENTALES (2)</t>
  </si>
  <si>
    <t>La enseñanza en educación primaria y secundaria fomenta la creatividad, la autosuficiencia y la iniciativa personal.</t>
  </si>
  <si>
    <t>La enseñanza en educación primaria y secundaria proporciona una formación adecuada en principios de economía de mercado.</t>
  </si>
  <si>
    <t>La enseñanza en educación primaria y secundaria presta suficiente atención al emprendimiento y a la creación de nuevas empresas.</t>
  </si>
  <si>
    <t>Las universidades y centros de educación superior proporcionan una preparación adecuada para iniciar y hacer crecer nuevas empresas.</t>
  </si>
  <si>
    <t>El nivel de la educación en negocios y gestión proporciona una preparación adecuada para iniciar y hacer crecer nuevas empresas.</t>
  </si>
  <si>
    <t>Los sistemas de formación profesional, educación continua y formación especializada proporcionan una preparación adecuada para iniciar y hacer crecer nuevas empresas.</t>
  </si>
  <si>
    <t>EDUCACIÓN ETAPA (I)</t>
  </si>
  <si>
    <t>Las nuevas tecnologías, la ciencia y otros conocimientos se transfieren de forma eficiente desde las universidades y centros públicos de investigación hacia las empresas nuevas y en crecimiento.</t>
  </si>
  <si>
    <t>Las empresas nuevas y en crecimiento tienen el mismo acceso a nuevas investigaciones y tecnologías que las grandes empresas ya establecidas.</t>
  </si>
  <si>
    <t>Las empresas nuevas y en crecimiento pueden permitirse acceder a las tecnologías más avanzadas.</t>
  </si>
  <si>
    <t>Existen subvenciones gubernamentales adecuadas para que las empresas nuevas y en crecimiento puedan adquirir nuevas tecnologías.</t>
  </si>
  <si>
    <t>La base científica y tecnológica apoya de manera eficiente la creación de nuevas empresas tecnológicas de nivel mundial al menos en algún ámbito.</t>
  </si>
  <si>
    <t>Existe un buen apoyo para que ingenieros y científicos puedan comercializar sus ideas a través de empresas nuevas y en crecimiento.</t>
  </si>
  <si>
    <t>TRANSFERENCIA DE I+D+I</t>
  </si>
  <si>
    <t>Existen suficientes subcontratistas, proveedores y consultores para apoyar a las empresas nuevas y en crecimiento.</t>
  </si>
  <si>
    <t>Las empresas nuevas y en crecimiento pueden asumir el coste de utilizar subcontratistas, proveedores y consultores.</t>
  </si>
  <si>
    <t>Es fácil para las empresas nuevas y en crecimiento encontrar buenos subcontratistas, proveedores y consultores.</t>
  </si>
  <si>
    <t>Es fácil para las empresas nuevas y en crecimiento acceder a buenos servicios profesionales legales y contables.</t>
  </si>
  <si>
    <t>Es fácil para las empresas nuevas y en crecimiento acceder a buenos servicios bancarios (cuentas corrientes, transacciones en divisas, cartas de crédito y similares).</t>
  </si>
  <si>
    <t>Las empresas nuevas y en crecimiento pueden acceder a servicios de computación en la nube a precios asequibles.</t>
  </si>
  <si>
    <t>DINÁMICAS DEL MERCADO INTERNO</t>
  </si>
  <si>
    <t>Los mercados de bienes y servicios para consumidores cambian de forma significativa de un año a otro.</t>
  </si>
  <si>
    <t>Los mercados de bienes y servicios entre empresas (business-to-business) cambian de forma significativa de un año a otro.</t>
  </si>
  <si>
    <t>Las empresas nuevas y en crecimiento pueden entrar fácilmente en nuevos mercados.</t>
  </si>
  <si>
    <t>Las empresas nuevas y en crecimiento pueden asumir los costes de entrada al mercado.</t>
  </si>
  <si>
    <t>Las empresas nuevas y en crecimiento pueden acceder a los mercados sin ser bloqueadas injustamente por empresas ya establecidas.</t>
  </si>
  <si>
    <t>La legislación antimonopolio es eficaz y se aplica de manera adecuada.</t>
  </si>
  <si>
    <t>La infraestructura física (carreteras, servicios públicos, comunicaciones, gestión de residuos) ofrece un buen apoyo a las empresas nuevas y en crecimiento.</t>
  </si>
  <si>
    <t>No resulta demasiado costoso para una empresa nueva o en crecimiento acceder a buenos servicios de comunicación (teléfono, internet, etc.).</t>
  </si>
  <si>
    <t>Una empresa nueva o en crecimiento puede obtener acceso a buenos servicios de comunicación (teléfono, internet, etc.) aproximadamente en una semana.</t>
  </si>
  <si>
    <t>Las empresas nuevas y en crecimiento pueden asumir el coste de los servicios básicos (gas, agua, electricidad, alcantarillado).</t>
  </si>
  <si>
    <t>Una empresa nueva o en crecimiento puede obtener acceso a servicios básicos (gas, agua, electricidad, alcantarillado) aproximadamente en un mes.</t>
  </si>
  <si>
    <t>Existen suficientes espacios de oficina asequibles en alquiler para las empresas nuevas y en crecimiento.</t>
  </si>
  <si>
    <t>Existen suficientes espacios de producción asequibles en alquiler para las empresas nuevas y en crecimiento.</t>
  </si>
  <si>
    <t>INFRAESTRUCTURA</t>
  </si>
  <si>
    <t>La cultura nacional apoya firmemente el éxito individual logrado a través del esfuerzo personal.</t>
  </si>
  <si>
    <t>La cultura nacional enfatiza la autosuficiencia, la autonomía y la iniciativa personal.</t>
  </si>
  <si>
    <t>La cultura nacional fomenta la asunción de riesgos en el ámbito emprendedor.</t>
  </si>
  <si>
    <t>La cultura nacional fomenta la creatividad y la innovación.</t>
  </si>
  <si>
    <t>La cultura nacional enfatiza la responsabilidad del individuo (más que del colectivo) en la gestión de su propia vida.</t>
  </si>
  <si>
    <t>NORMAS CULTURALES Y SOCIALES</t>
  </si>
  <si>
    <t>TEA 2025</t>
  </si>
  <si>
    <t>Año</t>
  </si>
  <si>
    <t>TABLA DE TASA DE CRECIMIENTO</t>
  </si>
  <si>
    <t>cierres efectivos</t>
  </si>
  <si>
    <t>tasa resiliencia</t>
  </si>
  <si>
    <t xml:space="preserve">Motivación </t>
  </si>
  <si>
    <t>HOMBRE</t>
  </si>
  <si>
    <t>MUJER</t>
  </si>
  <si>
    <t>Motivación  GÉNERO</t>
  </si>
  <si>
    <t>ESTABLECIDAS</t>
  </si>
  <si>
    <t>18-24</t>
  </si>
  <si>
    <t>25-34</t>
  </si>
  <si>
    <t>34-44</t>
  </si>
  <si>
    <t>45-54</t>
  </si>
  <si>
    <t>55-64</t>
  </si>
  <si>
    <t>NACIENTES</t>
  </si>
  <si>
    <t xml:space="preserve">NUEVAS </t>
  </si>
  <si>
    <t>EDAD Y SEXO</t>
  </si>
  <si>
    <t>Alfabetizado</t>
  </si>
  <si>
    <t>Más de 5 años en escuela sin completar primaria/secundaria</t>
  </si>
  <si>
    <t>Bachillerato / BUP / COU</t>
  </si>
  <si>
    <t>FP grado medio o equivalente</t>
  </si>
  <si>
    <t>Diplomatura / Ingeniería técnica</t>
  </si>
  <si>
    <t>Licenciatura / Ingeniería</t>
  </si>
  <si>
    <t>Máster</t>
  </si>
  <si>
    <t>Doctorado</t>
  </si>
  <si>
    <t>Ninguna</t>
  </si>
  <si>
    <t>Básica</t>
  </si>
  <si>
    <t>Intermedia</t>
  </si>
  <si>
    <t>Alta</t>
  </si>
  <si>
    <t>Avanzada</t>
  </si>
  <si>
    <t>NIVEL EDUCATIVO</t>
  </si>
  <si>
    <t>FORMACIÓN ESPECÍFICA EN EMPRENDIMIENTO</t>
  </si>
  <si>
    <t>RURAL Y URBANA GENERO</t>
  </si>
  <si>
    <t>RURAL</t>
  </si>
  <si>
    <t>URBANA</t>
  </si>
  <si>
    <t>ESTABLECIDA</t>
  </si>
  <si>
    <t>GÉNERO</t>
  </si>
  <si>
    <t>EDUCACIÓN</t>
  </si>
  <si>
    <t>INGRESOS</t>
  </si>
  <si>
    <t>ZONA</t>
  </si>
  <si>
    <t>VEGAS ALTAS DEL GUADIANA</t>
  </si>
  <si>
    <t>BAJOS</t>
  </si>
  <si>
    <t>ÁREA</t>
  </si>
  <si>
    <t>MEDIOS</t>
  </si>
  <si>
    <t>SECUNDARIA</t>
  </si>
  <si>
    <t>UNIVERSITARIOS</t>
  </si>
  <si>
    <t>CORREDOR NORTE</t>
  </si>
  <si>
    <t>VEGAS DEL G</t>
  </si>
  <si>
    <t>UNIV</t>
  </si>
  <si>
    <t>SECUND</t>
  </si>
  <si>
    <t>ALTOS</t>
  </si>
  <si>
    <t>EJE DE LA PLATA</t>
  </si>
  <si>
    <t>SECUNDARIOS</t>
  </si>
  <si>
    <t>UNIVERS</t>
  </si>
  <si>
    <t>VEGAS ALTAS</t>
  </si>
  <si>
    <t>MEDIIOS</t>
  </si>
  <si>
    <t>Tabla 1. Actividad emprendedora (TEA) según nivel de ingresos</t>
  </si>
  <si>
    <t>Nivel de ingresos</t>
  </si>
  <si>
    <t>Tabla 2. Requerimiento de capital inicial (negocios nacientes)</t>
  </si>
  <si>
    <t>Categoría</t>
  </si>
  <si>
    <t>No requiere capital inicial</t>
  </si>
  <si>
    <t>Sí requiere capital inicial</t>
  </si>
  <si>
    <t>Tabla 4. Origen del capital inicial (%)</t>
  </si>
  <si>
    <t>Fuente de financiación</t>
  </si>
  <si>
    <t>Ahorros personales</t>
  </si>
  <si>
    <t>Familiares</t>
  </si>
  <si>
    <t>Subvenciones públicas</t>
  </si>
  <si>
    <t>Bancos</t>
  </si>
  <si>
    <t>Otras fuentes</t>
  </si>
  <si>
    <t>Indicador</t>
  </si>
  <si>
    <t>Media capital inicial (€)</t>
  </si>
  <si>
    <t>Importe (€)</t>
  </si>
  <si>
    <t>—</t>
  </si>
  <si>
    <t>Tabla 6. Distribución del capital inicial requerido (%)</t>
  </si>
  <si>
    <t>Muy bajos</t>
  </si>
  <si>
    <t>Bajos</t>
  </si>
  <si>
    <t>Medios</t>
  </si>
  <si>
    <t>Altos</t>
  </si>
  <si>
    <t>Muy altos</t>
  </si>
  <si>
    <t>Tabla 11. Nivel de conocimientos financieros (TEA, % válido)</t>
  </si>
  <si>
    <t>Nivel de conocimientos</t>
  </si>
  <si>
    <t>Tabla 12. Nivel de conocimientos financieros (establecidas, % válido)</t>
  </si>
  <si>
    <t>Tabla 13. Sector de actividad de las iniciativas TEA (% válido)</t>
  </si>
  <si>
    <t>Sector de actividad</t>
  </si>
  <si>
    <t>Tabla 14. Sector de actividad de las empresas establecidas (% válido)</t>
  </si>
  <si>
    <t>Tabla 15. Empleo actual en iniciativas TEA (% válido)</t>
  </si>
  <si>
    <t>Número actual de empleos</t>
  </si>
  <si>
    <t>Tabla 16. Empleo actual en empresas establecidas (% válido)</t>
  </si>
  <si>
    <t>Tabla 17. Empleos creados en los últimos 12 meses (TEA, % válido)</t>
  </si>
  <si>
    <t>Número de empleos creados</t>
  </si>
  <si>
    <t>0 empleos</t>
  </si>
  <si>
    <t>1-5 empleos</t>
  </si>
  <si>
    <t>6-19 empleos</t>
  </si>
  <si>
    <t>20+ empleos</t>
  </si>
  <si>
    <t>Tabla 18. Empleos creados en los últimos 12 meses (establecidas, % válido)</t>
  </si>
  <si>
    <t>Tabla 19. Forma jurídica de las iniciativas TEA (% válido)</t>
  </si>
  <si>
    <t>Forma jurídica</t>
  </si>
  <si>
    <t>Empresario individual / autónomo</t>
  </si>
  <si>
    <t>Sociedad limitada</t>
  </si>
  <si>
    <t>Sociedad anónima</t>
  </si>
  <si>
    <t>Otras formas jurídicas</t>
  </si>
  <si>
    <t>Tabla 20. Forma jurídica de las empresas establecidas (% válido)</t>
  </si>
  <si>
    <t>Tabla 21. Intensidad exportadora en iniciativas TEA (% válido)</t>
  </si>
  <si>
    <t>Intensidad exportadora</t>
  </si>
  <si>
    <t>No exporta</t>
  </si>
  <si>
    <t>1-25% clientes internacionales</t>
  </si>
  <si>
    <t>26-75% clientes internacionales</t>
  </si>
  <si>
    <t>Más del 75%</t>
  </si>
  <si>
    <t>Tabla 22. Intensidad exportadora en empresas establecidas (% válido)</t>
  </si>
  <si>
    <t>Nivel tecnológico</t>
  </si>
  <si>
    <t>Bajo</t>
  </si>
  <si>
    <t>Medio</t>
  </si>
  <si>
    <t>Alto</t>
  </si>
  <si>
    <t>Tabla 24. Nivel tecnológico del sector en empresas establecidas (% válido)</t>
  </si>
  <si>
    <t>Tabla 25. Novedad del producto/servicio en iniciativas TEA (% válido)</t>
  </si>
  <si>
    <t>Nivel de novedad</t>
  </si>
  <si>
    <t>No es nuevo para nadie</t>
  </si>
  <si>
    <t>Nuevo para algunos clientes</t>
  </si>
  <si>
    <t>Nuevo para muchos clientes</t>
  </si>
  <si>
    <t>Tabla 26. Novedad del producto/servicio en empresas establecidas (% válido)</t>
  </si>
  <si>
    <t>TEA Cáceres</t>
  </si>
  <si>
    <t>TEA Badajoz</t>
  </si>
  <si>
    <t>EB Cáceres</t>
  </si>
  <si>
    <t>EB Badajoz</t>
  </si>
  <si>
    <t>Respuesta</t>
  </si>
  <si>
    <t>Quizás</t>
  </si>
  <si>
    <t>Tabla 29. Importancia de tecnologías digitales en iniciativas TEA (Cáceres, % válido)</t>
  </si>
  <si>
    <t>Tecnología</t>
  </si>
  <si>
    <t>Nada importante</t>
  </si>
  <si>
    <t>Algo importante</t>
  </si>
  <si>
    <t>Muy importante</t>
  </si>
  <si>
    <t>Data analytics tools</t>
  </si>
  <si>
    <t>Inteligencia artificial (actual)</t>
  </si>
  <si>
    <t>Inteligencia artificial (3 años)</t>
  </si>
  <si>
    <t>Página web corporativa</t>
  </si>
  <si>
    <t>Tabla 30. Importancia de tecnologías digitales en iniciativas TEA (Badajoz, % válido)</t>
  </si>
  <si>
    <t>Cloud computing</t>
  </si>
  <si>
    <t>Tabla 31. Importancia de tecnologías digitales en empresas establecidas (Badajoz, % válido)</t>
  </si>
  <si>
    <t>Tabla 32. Importancia de tecnologías digitales en iniciativas TEA (Cáceres, % válido)</t>
  </si>
  <si>
    <t>Tabla 33. Importancia de tecnologías digitales en empresas establecidas (Cáceres, % válido)</t>
  </si>
  <si>
    <t>Tabla 34. Expectativa de uso de tecnologías digitales en iniciativas TEA y empresas establecidas (EB) (% válido)</t>
  </si>
  <si>
    <t>Tabla 39. Impactos de la IA generativa (% válido, alto impacto)</t>
  </si>
  <si>
    <t>(TEA y EB – Cáceres y Badajoz)</t>
  </si>
  <si>
    <t>Tipo de impacto</t>
  </si>
  <si>
    <t>Personalización de clientes</t>
  </si>
  <si>
    <t>Productividad y eficiencia</t>
  </si>
  <si>
    <t>Innovación en productos/servicios</t>
  </si>
  <si>
    <t>Gestión de riesgos y cumplimiento</t>
  </si>
  <si>
    <t>Ingresos y crecimiento empresarial</t>
  </si>
  <si>
    <t>Tabla 40. Impactos negativos de la IA generativa (% válido, alto impacto)</t>
  </si>
  <si>
    <t>Tipo de impacto negativo</t>
  </si>
  <si>
    <t>Seguridad de datos y privacidad</t>
  </si>
  <si>
    <t>Coste e implementación</t>
  </si>
  <si>
    <t>Resistencia de empleados</t>
  </si>
  <si>
    <t>Dilemas éticos</t>
  </si>
  <si>
    <t>Resistencia del cliente/confianza</t>
  </si>
  <si>
    <t>Extemadura</t>
  </si>
  <si>
    <t>Hombres</t>
  </si>
  <si>
    <t>Mujeres</t>
  </si>
  <si>
    <t>No requiere capital</t>
  </si>
  <si>
    <t>Sí requiere capital</t>
  </si>
  <si>
    <t>TEA Extremadura</t>
  </si>
  <si>
    <t>EB Extremadura</t>
  </si>
  <si>
    <t>IA (actual)</t>
  </si>
  <si>
    <t>IA (3 años)</t>
  </si>
  <si>
    <t>Web corporativa</t>
  </si>
  <si>
    <t>Personalización</t>
  </si>
  <si>
    <t>Productividad</t>
  </si>
  <si>
    <t>Innovación</t>
  </si>
  <si>
    <t>Riesgos</t>
  </si>
  <si>
    <t>Crecimiento</t>
  </si>
  <si>
    <t>Seguridad datos</t>
  </si>
  <si>
    <t>Coste</t>
  </si>
  <si>
    <t>Resistencia empleados</t>
  </si>
  <si>
    <t>Resistencia cliente</t>
  </si>
  <si>
    <t>1–25% clientes internacionales</t>
  </si>
  <si>
    <t>26–75% clientes internacionales</t>
  </si>
  <si>
    <t>76–100% clientes internacionales</t>
  </si>
  <si>
    <t>Establecida Extremadura</t>
  </si>
  <si>
    <t>Extremadura 2024</t>
  </si>
  <si>
    <t>BARRERAS DE ACCESO AL MERCADO INTERNO</t>
  </si>
  <si>
    <t>Tabla 23. Nivel tecnológico del sector en iniciativas TEA (% válido)</t>
  </si>
  <si>
    <t>Tabla 24. Expectativa de uso de tecnologías digitales en los próximos 6 meses (% válido)</t>
  </si>
  <si>
    <t>Extractivo</t>
  </si>
  <si>
    <t>Transformador</t>
  </si>
  <si>
    <t>Servicos</t>
  </si>
  <si>
    <t>Orientado al consumidor</t>
  </si>
  <si>
    <t>Sin empleo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</si>
</sst>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0.0%"/>
    <numFmt numFmtId="165" formatCode="###0.0"/>
    <numFmt numFmtId="166" formatCode="0.0"/>
    <numFmt numFmtId="167" formatCode="_-* #,##0.0\ &quot;€&quot;_-;\-* #,##0.0\ &quot;€&quot;_-;_-* &quot;-&quot;??\ &quot;€&quot;_-;_-@_-"/>
  </numFmts>
  <fonts count="4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10205"/>
      <name val="Arial Bold"/>
      <family val="2"/>
    </font>
    <font>
      <sz val="9"/>
      <color rgb="FF010205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name val="Arial"/>
      <family val="2"/>
    </font>
    <font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  <font>
      <sz val="18"/>
      <name val="Arial"/>
      <family val="2"/>
    </font>
    <font>
      <sz val="14"/>
      <color rgb="FF000000"/>
      <name val="Aptos"/>
    </font>
    <font>
      <sz val="11"/>
      <color rgb="FF000000"/>
      <name val="Aptos"/>
    </font>
    <font>
      <sz val="16"/>
      <color rgb="FF000000"/>
      <name val="Aptos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8"/>
      <color rgb="FFFFFFFF"/>
      <name val="Calibri"/>
      <family val="2"/>
    </font>
    <font>
      <sz val="5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2"/>
      <color theme="1"/>
      <name val="Aptos Narrow"/>
      <scheme val="minor"/>
    </font>
    <font>
      <b/>
      <sz val="1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9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10"/>
      <name val="Aptos Narrow"/>
      <scheme val="minor"/>
    </font>
    <font>
      <b/>
      <sz val="1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6"/>
      <color theme="1"/>
      <name val="Aptos"/>
    </font>
    <font>
      <sz val="11"/>
      <color theme="1"/>
      <name val="Aptos Narrow"/>
    </font>
    <font>
      <sz val="9"/>
      <color rgb="FF993300"/>
      <name val="Arial"/>
      <family val="2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3.5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3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44" fontId="1" fillId="0" borderId="0" applyFont="0" applyFill="0" applyBorder="0" applyAlignment="0" applyProtection="0"/>
  </cellStyleXfs>
  <cellXfs count="191">
    <xf numFmtId="0" fontId="0" fillId="0" borderId="0" xfId="0"/>
    <xf numFmtId="0" fontId="2" fillId="0" borderId="4" xfId="0" applyFont="1" applyBorder="1" applyAlignment="1">
      <alignment horizontal="center"/>
    </xf>
    <xf numFmtId="0" fontId="3" fillId="0" borderId="4" xfId="0" applyFont="1" applyBorder="1"/>
    <xf numFmtId="164" fontId="3" fillId="0" borderId="4" xfId="1" applyNumberFormat="1" applyFont="1" applyBorder="1"/>
    <xf numFmtId="0" fontId="0" fillId="0" borderId="4" xfId="0" applyBorder="1"/>
    <xf numFmtId="164" fontId="0" fillId="0" borderId="4" xfId="1" applyNumberFormat="1" applyFont="1" applyBorder="1"/>
    <xf numFmtId="164" fontId="0" fillId="0" borderId="4" xfId="0" applyNumberFormat="1" applyBorder="1"/>
    <xf numFmtId="164" fontId="0" fillId="0" borderId="0" xfId="0" applyNumberForma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3" fillId="0" borderId="4" xfId="0" applyNumberFormat="1" applyFont="1" applyBorder="1"/>
    <xf numFmtId="0" fontId="0" fillId="0" borderId="4" xfId="1" applyNumberFormat="1" applyFont="1" applyFill="1" applyBorder="1"/>
    <xf numFmtId="0" fontId="0" fillId="0" borderId="4" xfId="1" applyNumberFormat="1" applyFont="1" applyBorder="1"/>
    <xf numFmtId="164" fontId="2" fillId="0" borderId="4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0" fillId="0" borderId="0" xfId="1" applyNumberFormat="1" applyFont="1"/>
    <xf numFmtId="165" fontId="0" fillId="0" borderId="0" xfId="0" applyNumberFormat="1"/>
    <xf numFmtId="0" fontId="0" fillId="3" borderId="0" xfId="0" applyFill="1"/>
    <xf numFmtId="0" fontId="5" fillId="0" borderId="0" xfId="2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0" borderId="0" xfId="4" applyFont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1" fillId="0" borderId="4" xfId="31" applyFont="1" applyBorder="1" applyAlignment="1">
      <alignment vertical="top"/>
    </xf>
    <xf numFmtId="164" fontId="12" fillId="0" borderId="4" xfId="1" applyNumberFormat="1" applyFont="1" applyBorder="1" applyAlignment="1">
      <alignment horizontal="center" vertical="center"/>
    </xf>
    <xf numFmtId="164" fontId="12" fillId="0" borderId="4" xfId="1" applyNumberFormat="1" applyFont="1" applyBorder="1" applyAlignment="1">
      <alignment horizontal="center" wrapText="1"/>
    </xf>
    <xf numFmtId="0" fontId="13" fillId="0" borderId="4" xfId="31" applyFont="1" applyBorder="1" applyAlignment="1">
      <alignment vertical="top"/>
    </xf>
    <xf numFmtId="164" fontId="12" fillId="0" borderId="4" xfId="1" applyNumberFormat="1" applyFont="1" applyBorder="1" applyAlignment="1">
      <alignment horizontal="center" vertical="center" wrapText="1"/>
    </xf>
    <xf numFmtId="0" fontId="13" fillId="0" borderId="4" xfId="0" applyFont="1" applyBorder="1"/>
    <xf numFmtId="0" fontId="9" fillId="4" borderId="7" xfId="0" applyFont="1" applyFill="1" applyBorder="1" applyAlignment="1">
      <alignment horizontal="center" vertical="center"/>
    </xf>
    <xf numFmtId="164" fontId="12" fillId="0" borderId="7" xfId="1" applyNumberFormat="1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9" fontId="12" fillId="0" borderId="0" xfId="1" applyFont="1" applyFill="1" applyBorder="1" applyAlignment="1">
      <alignment horizontal="center" vertical="center" wrapText="1"/>
    </xf>
    <xf numFmtId="164" fontId="12" fillId="0" borderId="0" xfId="1" applyNumberFormat="1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top" wrapText="1"/>
    </xf>
    <xf numFmtId="0" fontId="16" fillId="0" borderId="8" xfId="0" applyFont="1" applyBorder="1" applyAlignment="1">
      <alignment horizontal="center" vertical="center" wrapText="1" readingOrder="1"/>
    </xf>
    <xf numFmtId="0" fontId="15" fillId="0" borderId="8" xfId="0" applyFont="1" applyBorder="1" applyAlignment="1">
      <alignment horizontal="left" vertical="center" wrapText="1" readingOrder="1"/>
    </xf>
    <xf numFmtId="0" fontId="17" fillId="0" borderId="8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18" fillId="0" borderId="7" xfId="0" applyFont="1" applyBorder="1" applyAlignment="1">
      <alignment vertical="center"/>
    </xf>
    <xf numFmtId="166" fontId="0" fillId="0" borderId="4" xfId="0" applyNumberFormat="1" applyBorder="1"/>
    <xf numFmtId="166" fontId="18" fillId="0" borderId="4" xfId="0" applyNumberFormat="1" applyFont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vertical="center"/>
    </xf>
    <xf numFmtId="166" fontId="0" fillId="0" borderId="0" xfId="0" applyNumberFormat="1"/>
    <xf numFmtId="0" fontId="19" fillId="0" borderId="4" xfId="0" applyFont="1" applyBorder="1"/>
    <xf numFmtId="166" fontId="19" fillId="0" borderId="4" xfId="0" applyNumberFormat="1" applyFont="1" applyBorder="1" applyAlignment="1">
      <alignment horizontal="center" vertical="center"/>
    </xf>
    <xf numFmtId="0" fontId="2" fillId="7" borderId="4" xfId="0" applyFont="1" applyFill="1" applyBorder="1"/>
    <xf numFmtId="0" fontId="2" fillId="4" borderId="0" xfId="0" applyFont="1" applyFill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wrapText="1"/>
    </xf>
    <xf numFmtId="0" fontId="0" fillId="8" borderId="0" xfId="0" applyFill="1" applyAlignment="1">
      <alignment horizontal="center" vertical="center"/>
    </xf>
    <xf numFmtId="0" fontId="25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26" fillId="6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0" xfId="0" applyBorder="1"/>
    <xf numFmtId="164" fontId="0" fillId="0" borderId="4" xfId="1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31" fillId="6" borderId="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13" fillId="0" borderId="4" xfId="0" applyFont="1" applyBorder="1" applyAlignment="1">
      <alignment horizontal="center" vertical="center"/>
    </xf>
    <xf numFmtId="164" fontId="13" fillId="0" borderId="4" xfId="1" applyNumberFormat="1" applyFont="1" applyBorder="1" applyAlignment="1">
      <alignment horizontal="center" vertical="center"/>
    </xf>
    <xf numFmtId="164" fontId="13" fillId="0" borderId="4" xfId="1" applyNumberFormat="1" applyFont="1" applyBorder="1" applyAlignment="1">
      <alignment horizontal="center"/>
    </xf>
    <xf numFmtId="164" fontId="13" fillId="0" borderId="4" xfId="1" applyNumberFormat="1" applyFont="1" applyFill="1" applyBorder="1" applyAlignment="1">
      <alignment horizontal="center"/>
    </xf>
    <xf numFmtId="0" fontId="32" fillId="6" borderId="4" xfId="0" applyFont="1" applyFill="1" applyBorder="1" applyAlignment="1">
      <alignment horizontal="center"/>
    </xf>
    <xf numFmtId="164" fontId="19" fillId="0" borderId="4" xfId="1" applyNumberFormat="1" applyFont="1" applyBorder="1" applyAlignment="1">
      <alignment horizontal="center"/>
    </xf>
    <xf numFmtId="164" fontId="19" fillId="0" borderId="4" xfId="0" applyNumberFormat="1" applyFont="1" applyBorder="1" applyAlignment="1">
      <alignment horizontal="center" vertical="center"/>
    </xf>
    <xf numFmtId="0" fontId="33" fillId="0" borderId="4" xfId="0" applyFont="1" applyBorder="1"/>
    <xf numFmtId="0" fontId="34" fillId="10" borderId="10" xfId="0" applyFont="1" applyFill="1" applyBorder="1" applyAlignment="1">
      <alignment horizontal="center" vertical="center"/>
    </xf>
    <xf numFmtId="0" fontId="33" fillId="0" borderId="11" xfId="0" applyFont="1" applyBorder="1"/>
    <xf numFmtId="164" fontId="33" fillId="0" borderId="12" xfId="0" applyNumberFormat="1" applyFont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top" wrapText="1"/>
    </xf>
    <xf numFmtId="0" fontId="26" fillId="4" borderId="4" xfId="0" applyFont="1" applyFill="1" applyBorder="1" applyAlignment="1">
      <alignment horizontal="center" vertical="top" wrapText="1"/>
    </xf>
    <xf numFmtId="0" fontId="26" fillId="4" borderId="4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vertical="top" wrapText="1"/>
    </xf>
    <xf numFmtId="164" fontId="13" fillId="0" borderId="4" xfId="0" applyNumberFormat="1" applyFont="1" applyBorder="1" applyAlignment="1">
      <alignment horizontal="center" vertical="top" wrapText="1"/>
    </xf>
    <xf numFmtId="164" fontId="13" fillId="0" borderId="4" xfId="0" applyNumberFormat="1" applyFont="1" applyBorder="1" applyAlignment="1">
      <alignment horizontal="center"/>
    </xf>
    <xf numFmtId="164" fontId="19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top" wrapText="1"/>
    </xf>
    <xf numFmtId="164" fontId="13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 wrapText="1"/>
    </xf>
    <xf numFmtId="164" fontId="13" fillId="0" borderId="4" xfId="1" applyNumberFormat="1" applyFont="1" applyFill="1" applyBorder="1" applyAlignment="1">
      <alignment horizontal="center" vertical="top" wrapText="1"/>
    </xf>
    <xf numFmtId="164" fontId="13" fillId="0" borderId="7" xfId="1" applyNumberFormat="1" applyFont="1" applyFill="1" applyBorder="1" applyAlignment="1">
      <alignment horizontal="center" vertical="top" wrapText="1"/>
    </xf>
    <xf numFmtId="164" fontId="13" fillId="0" borderId="4" xfId="1" applyNumberFormat="1" applyFont="1" applyFill="1" applyBorder="1" applyAlignment="1">
      <alignment horizontal="center" vertical="center"/>
    </xf>
    <xf numFmtId="164" fontId="13" fillId="0" borderId="4" xfId="1" applyNumberFormat="1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center" vertical="center"/>
    </xf>
    <xf numFmtId="0" fontId="26" fillId="0" borderId="7" xfId="0" applyFont="1" applyBorder="1" applyAlignment="1">
      <alignment horizontal="center" vertical="top" wrapText="1"/>
    </xf>
    <xf numFmtId="164" fontId="19" fillId="0" borderId="4" xfId="1" applyNumberFormat="1" applyFont="1" applyFill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0" fontId="35" fillId="0" borderId="0" xfId="0" applyFont="1"/>
    <xf numFmtId="0" fontId="20" fillId="0" borderId="0" xfId="0" applyFont="1"/>
    <xf numFmtId="0" fontId="36" fillId="0" borderId="8" xfId="0" applyFont="1" applyBorder="1" applyAlignment="1">
      <alignment horizontal="center" vertical="center" wrapText="1" readingOrder="1"/>
    </xf>
    <xf numFmtId="0" fontId="37" fillId="0" borderId="0" xfId="0" applyFont="1"/>
    <xf numFmtId="0" fontId="38" fillId="0" borderId="0" xfId="0" applyFont="1"/>
    <xf numFmtId="0" fontId="27" fillId="0" borderId="0" xfId="0" applyFont="1"/>
    <xf numFmtId="0" fontId="30" fillId="0" borderId="0" xfId="0" applyFont="1" applyAlignment="1">
      <alignment vertical="center"/>
    </xf>
    <xf numFmtId="166" fontId="0" fillId="0" borderId="0" xfId="0" applyNumberForma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13" fillId="0" borderId="0" xfId="0" applyFont="1"/>
    <xf numFmtId="0" fontId="26" fillId="0" borderId="0" xfId="0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26" fillId="0" borderId="0" xfId="0" applyFont="1"/>
    <xf numFmtId="0" fontId="13" fillId="0" borderId="0" xfId="0" applyFont="1" applyAlignment="1">
      <alignment horizontal="center" vertical="center"/>
    </xf>
    <xf numFmtId="16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vertical="top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16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0" fontId="24" fillId="0" borderId="0" xfId="0" applyNumberFormat="1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2" fontId="0" fillId="0" borderId="0" xfId="1" applyNumberFormat="1" applyFont="1" applyFill="1" applyBorder="1" applyAlignment="1">
      <alignment horizontal="center"/>
    </xf>
    <xf numFmtId="1" fontId="26" fillId="0" borderId="0" xfId="0" applyNumberFormat="1" applyFont="1" applyAlignment="1">
      <alignment horizontal="center" vertical="center"/>
    </xf>
    <xf numFmtId="1" fontId="26" fillId="0" borderId="0" xfId="0" applyNumberFormat="1" applyFont="1"/>
    <xf numFmtId="0" fontId="26" fillId="0" borderId="0" xfId="0" applyFont="1" applyAlignment="1">
      <alignment vertical="center"/>
    </xf>
    <xf numFmtId="2" fontId="13" fillId="0" borderId="0" xfId="0" applyNumberFormat="1" applyFont="1" applyAlignment="1">
      <alignment horizontal="center"/>
    </xf>
    <xf numFmtId="0" fontId="31" fillId="6" borderId="9" xfId="0" applyFont="1" applyFill="1" applyBorder="1" applyAlignment="1">
      <alignment horizontal="center"/>
    </xf>
    <xf numFmtId="0" fontId="32" fillId="6" borderId="9" xfId="0" applyFont="1" applyFill="1" applyBorder="1" applyAlignment="1">
      <alignment horizontal="center"/>
    </xf>
    <xf numFmtId="0" fontId="34" fillId="10" borderId="14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26" fillId="4" borderId="9" xfId="0" applyFont="1" applyFill="1" applyBorder="1" applyAlignment="1">
      <alignment horizontal="center" vertical="center" wrapText="1"/>
    </xf>
    <xf numFmtId="0" fontId="6" fillId="0" borderId="0" xfId="0" applyFont="1"/>
    <xf numFmtId="166" fontId="20" fillId="0" borderId="0" xfId="0" applyNumberFormat="1" applyFont="1"/>
    <xf numFmtId="0" fontId="7" fillId="0" borderId="0" xfId="0" applyFont="1"/>
    <xf numFmtId="0" fontId="39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166" fontId="12" fillId="0" borderId="4" xfId="1" applyNumberFormat="1" applyFont="1" applyBorder="1" applyAlignment="1">
      <alignment horizontal="center" wrapText="1"/>
    </xf>
    <xf numFmtId="10" fontId="0" fillId="0" borderId="0" xfId="0" applyNumberFormat="1"/>
    <xf numFmtId="164" fontId="13" fillId="0" borderId="9" xfId="1" applyNumberFormat="1" applyFon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19" fillId="0" borderId="9" xfId="0" applyNumberFormat="1" applyFont="1" applyBorder="1" applyAlignment="1">
      <alignment horizontal="center" vertical="center"/>
    </xf>
    <xf numFmtId="9" fontId="0" fillId="0" borderId="0" xfId="0" applyNumberFormat="1"/>
    <xf numFmtId="164" fontId="33" fillId="0" borderId="14" xfId="0" applyNumberFormat="1" applyFont="1" applyBorder="1" applyAlignment="1">
      <alignment horizontal="center" vertical="center"/>
    </xf>
    <xf numFmtId="0" fontId="5" fillId="0" borderId="0" xfId="2" applyFont="1" applyAlignment="1">
      <alignment vertical="center" wrapText="1"/>
    </xf>
    <xf numFmtId="0" fontId="5" fillId="0" borderId="0" xfId="3" applyFont="1" applyAlignment="1">
      <alignment vertical="center" wrapText="1"/>
    </xf>
    <xf numFmtId="0" fontId="5" fillId="0" borderId="0" xfId="4" applyFont="1" applyAlignment="1">
      <alignment vertical="center" wrapText="1"/>
    </xf>
    <xf numFmtId="10" fontId="35" fillId="0" borderId="0" xfId="0" applyNumberFormat="1" applyFont="1"/>
    <xf numFmtId="10" fontId="38" fillId="0" borderId="0" xfId="0" applyNumberFormat="1" applyFont="1"/>
    <xf numFmtId="10" fontId="6" fillId="0" borderId="0" xfId="0" applyNumberFormat="1" applyFont="1"/>
    <xf numFmtId="164" fontId="5" fillId="0" borderId="0" xfId="3" applyNumberFormat="1" applyFont="1" applyAlignment="1">
      <alignment vertical="center" wrapText="1"/>
    </xf>
    <xf numFmtId="0" fontId="0" fillId="0" borderId="0" xfId="0" applyAlignment="1">
      <alignment horizontal="center" textRotation="90"/>
    </xf>
    <xf numFmtId="0" fontId="41" fillId="0" borderId="0" xfId="0" applyFont="1"/>
    <xf numFmtId="3" fontId="0" fillId="0" borderId="0" xfId="0" applyNumberFormat="1"/>
    <xf numFmtId="0" fontId="42" fillId="0" borderId="0" xfId="0" applyFont="1"/>
    <xf numFmtId="10" fontId="7" fillId="0" borderId="0" xfId="0" applyNumberFormat="1" applyFont="1"/>
    <xf numFmtId="0" fontId="43" fillId="0" borderId="0" xfId="0" applyFont="1"/>
    <xf numFmtId="164" fontId="41" fillId="0" borderId="0" xfId="0" applyNumberFormat="1" applyFont="1"/>
    <xf numFmtId="164" fontId="7" fillId="0" borderId="0" xfId="0" applyNumberFormat="1" applyFont="1"/>
    <xf numFmtId="164" fontId="25" fillId="0" borderId="0" xfId="0" applyNumberFormat="1" applyFont="1"/>
    <xf numFmtId="167" fontId="0" fillId="0" borderId="0" xfId="32" applyNumberFormat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5" borderId="0" xfId="0" applyFill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20" fillId="0" borderId="0" xfId="0" applyFont="1" applyAlignment="1">
      <alignment vertical="top"/>
    </xf>
    <xf numFmtId="0" fontId="8" fillId="11" borderId="0" xfId="0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5" fillId="2" borderId="0" xfId="2" applyFont="1" applyFill="1" applyAlignment="1">
      <alignment horizontal="center" vertical="center" wrapText="1"/>
    </xf>
    <xf numFmtId="0" fontId="5" fillId="2" borderId="0" xfId="3" applyFont="1" applyFill="1" applyAlignment="1">
      <alignment horizontal="center" vertical="center" wrapText="1"/>
    </xf>
    <xf numFmtId="0" fontId="5" fillId="2" borderId="0" xfId="4" applyFont="1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40" fillId="12" borderId="0" xfId="0" applyFont="1" applyFill="1" applyAlignment="1">
      <alignment horizontal="center"/>
    </xf>
    <xf numFmtId="0" fontId="5" fillId="0" borderId="0" xfId="2" applyFont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0" fontId="0" fillId="0" borderId="0" xfId="0" applyAlignment="1">
      <alignment horizontal="center" textRotation="90"/>
    </xf>
    <xf numFmtId="0" fontId="0" fillId="2" borderId="0" xfId="0" applyFill="1" applyAlignment="1">
      <alignment horizontal="center"/>
    </xf>
    <xf numFmtId="0" fontId="25" fillId="0" borderId="0" xfId="0" applyFon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33">
    <cellStyle name="Moneda" xfId="32" builtinId="4"/>
    <cellStyle name="Normal" xfId="0" builtinId="0"/>
    <cellStyle name="Normal_Hoja1" xfId="31" xr:uid="{183BC3C0-46D5-AC47-A311-D62AFD95F2D2}"/>
    <cellStyle name="Porcentaje" xfId="1" builtinId="5"/>
    <cellStyle name="style1773863090205" xfId="3" xr:uid="{B8B09C1C-D6D1-7044-A718-49B6D4104465}"/>
    <cellStyle name="style1773863090292" xfId="4" xr:uid="{AADA0141-C632-CC45-85C8-30EE66A00EFF}"/>
    <cellStyle name="style1773863090397" xfId="2" xr:uid="{62F49158-18CB-7347-86C8-CA580820557D}"/>
    <cellStyle name="style1773863090676" xfId="22" xr:uid="{AEDF1D1E-8C67-6D41-BA4C-C015924B9977}"/>
    <cellStyle name="style1773863090764" xfId="8" xr:uid="{D0D95153-233C-1F4D-AB29-A81A14D0531D}"/>
    <cellStyle name="style1773863090847" xfId="25" xr:uid="{5EF4BEF8-6A37-BC47-A909-21B4BD0FC769}"/>
    <cellStyle name="style1773863090942" xfId="26" xr:uid="{1F30EE93-3224-7D4E-9DE8-A55CBD499C97}"/>
    <cellStyle name="style1773863091749" xfId="14" xr:uid="{FB90B41A-A122-CA42-B927-503B9DE5D8EE}"/>
    <cellStyle name="style1773863092461" xfId="18" xr:uid="{69C89847-1005-0148-81F0-85992E33E87D}"/>
    <cellStyle name="style1773863093744" xfId="11" xr:uid="{F2D28B62-88A1-534C-99AE-6C9A8D34AFF9}"/>
    <cellStyle name="style1773863093842" xfId="12" xr:uid="{BD9B68FF-54AE-8641-8262-A3DF26A72F93}"/>
    <cellStyle name="style1773863093886" xfId="15" xr:uid="{75B2AA5D-B826-9A47-A35D-76F453E1DBAB}"/>
    <cellStyle name="style1773863094044" xfId="16" xr:uid="{ACF992B1-8436-A149-B2BA-73FCDBFAA4B3}"/>
    <cellStyle name="style1773863094171" xfId="19" xr:uid="{043C409C-F3B8-FE4D-82D1-DF80BFD524B2}"/>
    <cellStyle name="style1773863094556" xfId="7" xr:uid="{5A4E5DCF-1B10-E04E-9FF7-7BF8E26F65AE}"/>
    <cellStyle name="style1773863094948" xfId="29" xr:uid="{383A863A-0D38-9D49-91E3-815B6D3F8B73}"/>
    <cellStyle name="style1773863095011" xfId="30" xr:uid="{221505D9-E441-1C44-A51D-C4483C4243BA}"/>
    <cellStyle name="style1773863095389" xfId="13" xr:uid="{A0A7D291-E7E8-FF43-9988-6CCE1509325A}"/>
    <cellStyle name="style1773863095468" xfId="17" xr:uid="{204F8CA9-AD17-2C4B-BDCB-F525A203B718}"/>
    <cellStyle name="style1773863095786" xfId="27" xr:uid="{B2842B75-EAD3-C940-A9A4-90C64B583876}"/>
    <cellStyle name="style1773863095847" xfId="28" xr:uid="{CAAB1571-9740-3342-B720-AF7C27FCD4F6}"/>
    <cellStyle name="style1773863096628" xfId="5" xr:uid="{3DABDC21-9C2D-B344-9C25-B6632EE12AE5}"/>
    <cellStyle name="style1773863096672" xfId="9" xr:uid="{394F632A-A78D-5F42-983E-25AD0C339DB2}"/>
    <cellStyle name="style1773863096814" xfId="6" xr:uid="{5CB26FD3-2ECD-FA42-9C4B-5AA8003B666D}"/>
    <cellStyle name="style1773863096861" xfId="10" xr:uid="{41EF35C3-9075-C147-94CB-026DFB875AC7}"/>
    <cellStyle name="style1773863097982" xfId="20" xr:uid="{8B6EB974-2E38-5143-8070-CA5A21AAD350}"/>
    <cellStyle name="style1773863098030" xfId="21" xr:uid="{D1790CB7-D109-CE4F-86C4-6B07E1656865}"/>
    <cellStyle name="style1773863098077" xfId="23" xr:uid="{9E42D21A-03F6-E04E-B00A-0474BF660729}"/>
    <cellStyle name="style1773863098124" xfId="24" xr:uid="{5475CFD8-4A96-9B4A-9A58-02C3A1D6A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'APS 2025 C1'!$B$5</c:f>
              <c:strCache>
                <c:ptCount val="1"/>
                <c:pt idx="0">
                  <c:v>Población involucrada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C1'!$A$18:$A$28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'APS 2025 C1'!$B$18:$B$28</c:f>
              <c:numCache>
                <c:formatCode>0.0%</c:formatCode>
                <c:ptCount val="11"/>
                <c:pt idx="0">
                  <c:v>0.54400000000000004</c:v>
                </c:pt>
                <c:pt idx="1">
                  <c:v>0.629</c:v>
                </c:pt>
                <c:pt idx="2">
                  <c:v>0.57699999999999996</c:v>
                </c:pt>
                <c:pt idx="3">
                  <c:v>0.60299999999999998</c:v>
                </c:pt>
                <c:pt idx="4">
                  <c:v>0.58699999999999997</c:v>
                </c:pt>
                <c:pt idx="5">
                  <c:v>0.65099999999999991</c:v>
                </c:pt>
                <c:pt idx="6">
                  <c:v>0.60499999999999998</c:v>
                </c:pt>
                <c:pt idx="7">
                  <c:v>0.63400000000000001</c:v>
                </c:pt>
                <c:pt idx="8">
                  <c:v>0.66300000000000003</c:v>
                </c:pt>
                <c:pt idx="9">
                  <c:v>0.70299999999999996</c:v>
                </c:pt>
                <c:pt idx="10">
                  <c:v>0.70399999999999996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B-6A45-B076-828CAD2E3411}"/>
            </c:ext>
          </c:extLst>
        </c:ser>
        <c:ser>
          <c:idx val="1"/>
          <c:order val="1"/>
          <c:tx>
            <c:strRef>
              <c:f>'APS 2025 C1'!$C$5</c:f>
              <c:strCache>
                <c:ptCount val="1"/>
                <c:pt idx="0">
                  <c:v>Población no involucrada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C1'!$A$18:$A$28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'APS 2025 C1'!$C$18:$C$28</c:f>
              <c:numCache>
                <c:formatCode>0.0%</c:formatCode>
                <c:ptCount val="11"/>
                <c:pt idx="0">
                  <c:v>0.38600000000000001</c:v>
                </c:pt>
                <c:pt idx="1">
                  <c:v>0.36699999999999999</c:v>
                </c:pt>
                <c:pt idx="2">
                  <c:v>0.36</c:v>
                </c:pt>
                <c:pt idx="3">
                  <c:v>0.38200000000000001</c:v>
                </c:pt>
                <c:pt idx="4">
                  <c:v>0.47399999999999998</c:v>
                </c:pt>
                <c:pt idx="5">
                  <c:v>0.38200000000000001</c:v>
                </c:pt>
                <c:pt idx="6">
                  <c:v>0.40300000000000002</c:v>
                </c:pt>
                <c:pt idx="7">
                  <c:v>0.40699999999999997</c:v>
                </c:pt>
                <c:pt idx="8">
                  <c:v>0.52500000000000002</c:v>
                </c:pt>
                <c:pt idx="9">
                  <c:v>0.44</c:v>
                </c:pt>
                <c:pt idx="10">
                  <c:v>0.53800000000000003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B-6A45-B076-828CAD2E3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613439"/>
        <c:axId val="1811627327"/>
      </c:lineChart>
      <c:catAx>
        <c:axId val="181161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11627327"/>
        <c:crosses val="autoZero"/>
        <c:auto val="1"/>
        <c:lblAlgn val="ctr"/>
        <c:lblOffset val="100"/>
        <c:noMultiLvlLbl val="0"/>
      </c:catAx>
      <c:valAx>
        <c:axId val="181162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116134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'APS 2025 C1'!$B$33</c:f>
              <c:strCache>
                <c:ptCount val="1"/>
                <c:pt idx="0">
                  <c:v>Población involucrada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C1'!$A$46:$A$56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'APS 2025 C1'!$B$46:$B$56</c:f>
              <c:numCache>
                <c:formatCode>0.0%</c:formatCode>
                <c:ptCount val="11"/>
                <c:pt idx="0">
                  <c:v>0.27200000000000002</c:v>
                </c:pt>
                <c:pt idx="1">
                  <c:v>0.26900000000000002</c:v>
                </c:pt>
                <c:pt idx="2">
                  <c:v>0.31</c:v>
                </c:pt>
                <c:pt idx="3">
                  <c:v>0.26100000000000001</c:v>
                </c:pt>
                <c:pt idx="4">
                  <c:v>0.40699999999999997</c:v>
                </c:pt>
                <c:pt idx="5">
                  <c:v>0.17899999999999999</c:v>
                </c:pt>
                <c:pt idx="6">
                  <c:v>0.38400000000000001</c:v>
                </c:pt>
                <c:pt idx="7">
                  <c:v>0.24299999999999999</c:v>
                </c:pt>
                <c:pt idx="8">
                  <c:v>0.376</c:v>
                </c:pt>
                <c:pt idx="9">
                  <c:v>0.32200000000000001</c:v>
                </c:pt>
                <c:pt idx="10">
                  <c:v>0.41199999999999998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0-E14D-9DD9-D226D13F4225}"/>
            </c:ext>
          </c:extLst>
        </c:ser>
        <c:ser>
          <c:idx val="1"/>
          <c:order val="1"/>
          <c:tx>
            <c:strRef>
              <c:f>'APS 2025 C1'!$C$33</c:f>
              <c:strCache>
                <c:ptCount val="1"/>
                <c:pt idx="0">
                  <c:v>Población no involucrada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C1'!$A$46:$A$56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'APS 2025 C1'!$C$46:$C$56</c:f>
              <c:numCache>
                <c:formatCode>0.0%</c:formatCode>
                <c:ptCount val="11"/>
                <c:pt idx="0">
                  <c:v>0.253</c:v>
                </c:pt>
                <c:pt idx="1">
                  <c:v>0.19800000000000001</c:v>
                </c:pt>
                <c:pt idx="2">
                  <c:v>0.245</c:v>
                </c:pt>
                <c:pt idx="3">
                  <c:v>0.193</c:v>
                </c:pt>
                <c:pt idx="4">
                  <c:v>0.30399999999999999</c:v>
                </c:pt>
                <c:pt idx="5">
                  <c:v>0.17199999999999999</c:v>
                </c:pt>
                <c:pt idx="6">
                  <c:v>0.23200000000000001</c:v>
                </c:pt>
                <c:pt idx="7">
                  <c:v>0.23100000000000001</c:v>
                </c:pt>
                <c:pt idx="8">
                  <c:v>0.27400000000000002</c:v>
                </c:pt>
                <c:pt idx="9">
                  <c:v>0.26500000000000001</c:v>
                </c:pt>
                <c:pt idx="10">
                  <c:v>0.34399999999999997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0-E14D-9DD9-D226D13F4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093695"/>
        <c:axId val="1790325439"/>
      </c:lineChart>
      <c:catAx>
        <c:axId val="179109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0325439"/>
        <c:crosses val="autoZero"/>
        <c:auto val="1"/>
        <c:lblAlgn val="ctr"/>
        <c:lblOffset val="100"/>
        <c:noMultiLvlLbl val="0"/>
      </c:catAx>
      <c:valAx>
        <c:axId val="17903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093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'APS 2025 C1'!$B$60</c:f>
              <c:strCache>
                <c:ptCount val="1"/>
                <c:pt idx="0">
                  <c:v>Población involucrada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C1'!$A$73:$A$83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'APS 2025 C1'!$B$73:$B$83</c:f>
              <c:numCache>
                <c:formatCode>0.0%</c:formatCode>
                <c:ptCount val="11"/>
                <c:pt idx="0">
                  <c:v>0.82399999999999995</c:v>
                </c:pt>
                <c:pt idx="1">
                  <c:v>0.85899999999999999</c:v>
                </c:pt>
                <c:pt idx="2">
                  <c:v>0.84799999999999998</c:v>
                </c:pt>
                <c:pt idx="3">
                  <c:v>0.84899999999999998</c:v>
                </c:pt>
                <c:pt idx="4">
                  <c:v>0.84</c:v>
                </c:pt>
                <c:pt idx="5">
                  <c:v>0.81700000000000006</c:v>
                </c:pt>
                <c:pt idx="6">
                  <c:v>0.85799999999999998</c:v>
                </c:pt>
                <c:pt idx="7">
                  <c:v>0.84499999999999997</c:v>
                </c:pt>
                <c:pt idx="8">
                  <c:v>1</c:v>
                </c:pt>
                <c:pt idx="9">
                  <c:v>0.84799999999999998</c:v>
                </c:pt>
                <c:pt idx="10">
                  <c:v>0.79600000000000004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B-8E4E-AAE6-C0381F4B5997}"/>
            </c:ext>
          </c:extLst>
        </c:ser>
        <c:ser>
          <c:idx val="1"/>
          <c:order val="1"/>
          <c:tx>
            <c:strRef>
              <c:f>'APS 2025 C1'!$C$60</c:f>
              <c:strCache>
                <c:ptCount val="1"/>
                <c:pt idx="0">
                  <c:v>Población no involucrada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C1'!$A$73:$A$83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'APS 2025 C1'!$C$73:$C$83</c:f>
              <c:numCache>
                <c:formatCode>0.0%</c:formatCode>
                <c:ptCount val="11"/>
                <c:pt idx="0">
                  <c:v>0.434</c:v>
                </c:pt>
                <c:pt idx="1">
                  <c:v>0.41699999999999998</c:v>
                </c:pt>
                <c:pt idx="2">
                  <c:v>0.4</c:v>
                </c:pt>
                <c:pt idx="3">
                  <c:v>0.41299999999999998</c:v>
                </c:pt>
                <c:pt idx="4">
                  <c:v>0.439</c:v>
                </c:pt>
                <c:pt idx="5">
                  <c:v>0.53100000000000003</c:v>
                </c:pt>
                <c:pt idx="6">
                  <c:v>0.46500000000000002</c:v>
                </c:pt>
                <c:pt idx="7">
                  <c:v>0.41299999999999998</c:v>
                </c:pt>
                <c:pt idx="8">
                  <c:v>0.46</c:v>
                </c:pt>
                <c:pt idx="9">
                  <c:v>0.42499999999999999</c:v>
                </c:pt>
                <c:pt idx="10">
                  <c:v>0.49099999999999999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9B-8E4E-AAE6-C0381F4B5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612607"/>
        <c:axId val="1790052095"/>
      </c:lineChart>
      <c:catAx>
        <c:axId val="179161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0052095"/>
        <c:crosses val="autoZero"/>
        <c:auto val="1"/>
        <c:lblAlgn val="ctr"/>
        <c:lblOffset val="100"/>
        <c:noMultiLvlLbl val="0"/>
      </c:catAx>
      <c:valAx>
        <c:axId val="179005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612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'APS 2025 C1'!$B$87</c:f>
              <c:strCache>
                <c:ptCount val="1"/>
                <c:pt idx="0">
                  <c:v>Población involucrada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C1'!$A$100:$A$110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'APS 2025 C1'!$B$100:$B$110</c:f>
              <c:numCache>
                <c:formatCode>0.0%</c:formatCode>
                <c:ptCount val="11"/>
                <c:pt idx="0">
                  <c:v>0.308</c:v>
                </c:pt>
                <c:pt idx="1">
                  <c:v>0.31900000000000001</c:v>
                </c:pt>
                <c:pt idx="2">
                  <c:v>0.32800000000000001</c:v>
                </c:pt>
                <c:pt idx="3">
                  <c:v>0.34399999999999997</c:v>
                </c:pt>
                <c:pt idx="4">
                  <c:v>0.35499999999999998</c:v>
                </c:pt>
                <c:pt idx="5">
                  <c:v>0.52700000000000002</c:v>
                </c:pt>
                <c:pt idx="6">
                  <c:v>0.40500000000000003</c:v>
                </c:pt>
                <c:pt idx="7">
                  <c:v>0.42899999999999999</c:v>
                </c:pt>
                <c:pt idx="8">
                  <c:v>0.37</c:v>
                </c:pt>
                <c:pt idx="9">
                  <c:v>0.313</c:v>
                </c:pt>
                <c:pt idx="10">
                  <c:v>0.377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7-A849-8C50-D3EE6D35F7B5}"/>
            </c:ext>
          </c:extLst>
        </c:ser>
        <c:ser>
          <c:idx val="1"/>
          <c:order val="1"/>
          <c:tx>
            <c:strRef>
              <c:f>'APS 2025 C1'!$C$87</c:f>
              <c:strCache>
                <c:ptCount val="1"/>
                <c:pt idx="0">
                  <c:v>Población no involucrada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C1'!$A$100:$A$110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'APS 2025 C1'!$C$100:$C$110</c:f>
              <c:numCache>
                <c:formatCode>0.0%</c:formatCode>
                <c:ptCount val="11"/>
                <c:pt idx="0">
                  <c:v>0.47199999999999998</c:v>
                </c:pt>
                <c:pt idx="1">
                  <c:v>0.49099999999999999</c:v>
                </c:pt>
                <c:pt idx="2">
                  <c:v>0.51800000000000002</c:v>
                </c:pt>
                <c:pt idx="3">
                  <c:v>0.44</c:v>
                </c:pt>
                <c:pt idx="4">
                  <c:v>0.58099999999999996</c:v>
                </c:pt>
                <c:pt idx="5">
                  <c:v>0.7</c:v>
                </c:pt>
                <c:pt idx="6">
                  <c:v>0.60899999999999999</c:v>
                </c:pt>
                <c:pt idx="7">
                  <c:v>0.57799999999999996</c:v>
                </c:pt>
                <c:pt idx="8">
                  <c:v>0.54200000000000004</c:v>
                </c:pt>
                <c:pt idx="9">
                  <c:v>0.52500000000000002</c:v>
                </c:pt>
                <c:pt idx="10">
                  <c:v>0.57099999999999995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C7-A849-8C50-D3EE6D35F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6845311"/>
        <c:axId val="1816846207"/>
      </c:lineChart>
      <c:catAx>
        <c:axId val="181684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16846207"/>
        <c:crosses val="autoZero"/>
        <c:auto val="1"/>
        <c:lblAlgn val="ctr"/>
        <c:lblOffset val="100"/>
        <c:noMultiLvlLbl val="0"/>
      </c:catAx>
      <c:valAx>
        <c:axId val="181684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168453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OPORTUNIDADES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'APS 2025 C1'!$A$115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C1'!$B$113:$C$114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C1'!$B$115:$C$115</c:f>
              <c:numCache>
                <c:formatCode>0.0%</c:formatCode>
                <c:ptCount val="2"/>
                <c:pt idx="0">
                  <c:v>0.39300000000000002</c:v>
                </c:pt>
                <c:pt idx="1">
                  <c:v>0.35799999999999998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6-CA48-8DBA-3805DA48F571}"/>
            </c:ext>
          </c:extLst>
        </c:ser>
        <c:ser>
          <c:idx val="1"/>
          <c:order val="1"/>
          <c:tx>
            <c:strRef>
              <c:f>'APS 2025 C1'!$A$116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C1'!$B$113:$C$114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C1'!$B$116:$C$116</c:f>
              <c:numCache>
                <c:formatCode>0.0%</c:formatCode>
                <c:ptCount val="2"/>
                <c:pt idx="0">
                  <c:v>0.45</c:v>
                </c:pt>
                <c:pt idx="1">
                  <c:v>0.31900000000000001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6-CA48-8DBA-3805DA48F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1423615"/>
        <c:axId val="1791137471"/>
      </c:barChart>
      <c:catAx>
        <c:axId val="1821423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1137471"/>
        <c:crosses val="autoZero"/>
        <c:auto val="1"/>
        <c:lblAlgn val="ctr"/>
        <c:lblOffset val="100"/>
        <c:noMultiLvlLbl val="0"/>
      </c:catAx>
      <c:valAx>
        <c:axId val="179113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142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CONOCIMIENTOS Y HABILIDADES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'APS 2025 C1'!$A$120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C1'!$B$118:$C$119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C1'!$B$120:$C$120</c:f>
              <c:numCache>
                <c:formatCode>0.0%</c:formatCode>
                <c:ptCount val="2"/>
                <c:pt idx="0">
                  <c:v>0.80100000000000005</c:v>
                </c:pt>
                <c:pt idx="1">
                  <c:v>0.50700000000000001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A-1345-B144-F82402C8D334}"/>
            </c:ext>
          </c:extLst>
        </c:ser>
        <c:ser>
          <c:idx val="1"/>
          <c:order val="1"/>
          <c:tx>
            <c:strRef>
              <c:f>'APS 2025 C1'!$A$121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C1'!$B$118:$C$119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C1'!$B$121:$C$121</c:f>
              <c:numCache>
                <c:formatCode>0.0%</c:formatCode>
                <c:ptCount val="2"/>
                <c:pt idx="0">
                  <c:v>0.78600000000000003</c:v>
                </c:pt>
                <c:pt idx="1">
                  <c:v>0.46300000000000002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FA-1345-B144-F82402C8D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4059647"/>
        <c:axId val="1824061887"/>
      </c:barChart>
      <c:catAx>
        <c:axId val="1824059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4061887"/>
        <c:crosses val="autoZero"/>
        <c:auto val="1"/>
        <c:lblAlgn val="ctr"/>
        <c:lblOffset val="100"/>
        <c:noMultiLvlLbl val="0"/>
      </c:catAx>
      <c:valAx>
        <c:axId val="182406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405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MIEDO AL FRACASO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'APS 2025 C1'!$A$125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C1'!$B$124:$C$124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C1'!$B$125:$C$125</c:f>
              <c:numCache>
                <c:formatCode>0.0%</c:formatCode>
                <c:ptCount val="2"/>
                <c:pt idx="0">
                  <c:v>0.42699999999999999</c:v>
                </c:pt>
                <c:pt idx="1">
                  <c:v>0.58799999999999997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4-E741-9575-5C9882BD4117}"/>
            </c:ext>
          </c:extLst>
        </c:ser>
        <c:ser>
          <c:idx val="1"/>
          <c:order val="1"/>
          <c:tx>
            <c:strRef>
              <c:f>'APS 2025 C1'!$A$126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C1'!$B$124:$C$124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C1'!$B$126:$C$126</c:f>
              <c:numCache>
                <c:formatCode>0.0%</c:formatCode>
                <c:ptCount val="2"/>
                <c:pt idx="0">
                  <c:v>0.27800000000000002</c:v>
                </c:pt>
                <c:pt idx="1">
                  <c:v>0.53400000000000003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4-E741-9575-5C9882BD4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534399"/>
        <c:axId val="1788791871"/>
      </c:barChart>
      <c:catAx>
        <c:axId val="182053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791871"/>
        <c:crosses val="autoZero"/>
        <c:auto val="1"/>
        <c:lblAlgn val="ctr"/>
        <c:lblOffset val="100"/>
        <c:noMultiLvlLbl val="0"/>
      </c:catAx>
      <c:valAx>
        <c:axId val="178879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53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CONOCE A EMPRESARIO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'APS 2025 C1'!$A$130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C1'!$B$129:$C$129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C1'!$B$130:$C$130</c:f>
              <c:numCache>
                <c:formatCode>0.0%</c:formatCode>
                <c:ptCount val="2"/>
                <c:pt idx="0">
                  <c:v>0.71399999999999997</c:v>
                </c:pt>
                <c:pt idx="1">
                  <c:v>0.55300000000000005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8-584C-9C8B-B3B2F70E4C74}"/>
            </c:ext>
          </c:extLst>
        </c:ser>
        <c:ser>
          <c:idx val="1"/>
          <c:order val="1"/>
          <c:tx>
            <c:strRef>
              <c:f>'APS 2025 C1'!$A$131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C1'!$B$129:$C$129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C1'!$B$131:$C$131</c:f>
              <c:numCache>
                <c:formatCode>0.0%</c:formatCode>
                <c:ptCount val="2"/>
                <c:pt idx="0">
                  <c:v>0.68500000000000005</c:v>
                </c:pt>
                <c:pt idx="1">
                  <c:v>0.51200000000000001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8-584C-9C8B-B3B2F70E4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9019007"/>
        <c:axId val="1824014335"/>
      </c:barChart>
      <c:catAx>
        <c:axId val="181901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4014335"/>
        <c:crosses val="autoZero"/>
        <c:auto val="1"/>
        <c:lblAlgn val="ctr"/>
        <c:lblOffset val="100"/>
        <c:noMultiLvlLbl val="0"/>
      </c:catAx>
      <c:valAx>
        <c:axId val="182401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1901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OPORTUNIDAD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'APS 2025 C1'!$A$135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C1'!$B$134:$C$134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C1'!$B$135:$C$135</c:f>
              <c:numCache>
                <c:formatCode>0.0%</c:formatCode>
                <c:ptCount val="2"/>
                <c:pt idx="0">
                  <c:v>0.40699999999999997</c:v>
                </c:pt>
                <c:pt idx="1">
                  <c:v>0.30499999999999999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8-494D-B61E-064DF5094CF5}"/>
            </c:ext>
          </c:extLst>
        </c:ser>
        <c:ser>
          <c:idx val="1"/>
          <c:order val="1"/>
          <c:tx>
            <c:strRef>
              <c:f>'APS 2025 C1'!$A$136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C1'!$B$134:$C$134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C1'!$B$136:$C$136</c:f>
              <c:numCache>
                <c:formatCode>0.0%</c:formatCode>
                <c:ptCount val="2"/>
                <c:pt idx="0">
                  <c:v>0.47099999999999997</c:v>
                </c:pt>
                <c:pt idx="1">
                  <c:v>0.38100000000000001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8-494D-B61E-064DF5094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544063"/>
        <c:axId val="1819130303"/>
      </c:barChart>
      <c:catAx>
        <c:axId val="1820544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19130303"/>
        <c:crosses val="autoZero"/>
        <c:auto val="1"/>
        <c:lblAlgn val="ctr"/>
        <c:lblOffset val="100"/>
        <c:noMultiLvlLbl val="0"/>
      </c:catAx>
      <c:valAx>
        <c:axId val="181913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5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HABILIDADES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'APS 2025 C1'!$A$140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C1'!$B$139:$C$139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C1'!$B$140:$C$140</c:f>
              <c:numCache>
                <c:formatCode>0.0%</c:formatCode>
                <c:ptCount val="2"/>
                <c:pt idx="0">
                  <c:v>0.76800000000000002</c:v>
                </c:pt>
                <c:pt idx="1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6-2C44-B78B-38C70C9D6483}"/>
            </c:ext>
          </c:extLst>
        </c:ser>
        <c:ser>
          <c:idx val="1"/>
          <c:order val="1"/>
          <c:tx>
            <c:strRef>
              <c:f>'APS 2025 C1'!$A$141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C1'!$B$139:$C$139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C1'!$B$141:$C$141</c:f>
              <c:numCache>
                <c:formatCode>0.0%</c:formatCode>
                <c:ptCount val="2"/>
                <c:pt idx="0">
                  <c:v>0.82199999999999995</c:v>
                </c:pt>
                <c:pt idx="1">
                  <c:v>0.53200000000000003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6-2C44-B78B-38C70C9D6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7649087"/>
        <c:axId val="1821735359"/>
      </c:barChart>
      <c:catAx>
        <c:axId val="182764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1735359"/>
        <c:crosses val="autoZero"/>
        <c:auto val="1"/>
        <c:lblAlgn val="ctr"/>
        <c:lblOffset val="100"/>
        <c:noMultiLvlLbl val="0"/>
      </c:catAx>
      <c:valAx>
        <c:axId val="182173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76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MIEDO AL FRACASO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'APS 2025 C1'!$A$145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C1'!$B$144:$C$144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C1'!$B$145:$C$145</c:f>
              <c:numCache>
                <c:formatCode>0.0%</c:formatCode>
                <c:ptCount val="2"/>
                <c:pt idx="0">
                  <c:v>0.41199999999999998</c:v>
                </c:pt>
                <c:pt idx="1">
                  <c:v>0.627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A-C842-B856-289F4BF10C95}"/>
            </c:ext>
          </c:extLst>
        </c:ser>
        <c:ser>
          <c:idx val="1"/>
          <c:order val="1"/>
          <c:tx>
            <c:strRef>
              <c:f>'APS 2025 C1'!$A$146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C1'!$B$144:$C$144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C1'!$B$146:$C$146</c:f>
              <c:numCache>
                <c:formatCode>0.0%</c:formatCode>
                <c:ptCount val="2"/>
                <c:pt idx="0">
                  <c:v>0.34100000000000003</c:v>
                </c:pt>
                <c:pt idx="1">
                  <c:v>0.51700000000000002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A-C842-B856-289F4BF1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0461759"/>
        <c:axId val="1830463551"/>
      </c:barChart>
      <c:catAx>
        <c:axId val="183046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0463551"/>
        <c:crosses val="autoZero"/>
        <c:auto val="1"/>
        <c:lblAlgn val="ctr"/>
        <c:lblOffset val="100"/>
        <c:noMultiLvlLbl val="0"/>
      </c:catAx>
      <c:valAx>
        <c:axId val="183046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046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CONOCE A EMPRESARIO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'APS 2025 C1'!$A$150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C1'!$B$149:$C$149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C1'!$B$150:$C$150</c:f>
              <c:numCache>
                <c:formatCode>0.0%</c:formatCode>
                <c:ptCount val="2"/>
                <c:pt idx="0">
                  <c:v>0.66700000000000004</c:v>
                </c:pt>
                <c:pt idx="1">
                  <c:v>0.52800000000000002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7-FD49-9319-462EFC162254}"/>
            </c:ext>
          </c:extLst>
        </c:ser>
        <c:ser>
          <c:idx val="1"/>
          <c:order val="1"/>
          <c:tx>
            <c:strRef>
              <c:f>'APS 2025 C1'!$A$151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C1'!$B$149:$C$149</c:f>
              <c:strCache>
                <c:ptCount val="2"/>
                <c:pt idx="0">
                  <c:v>Población involucrada</c:v>
                </c:pt>
                <c:pt idx="1">
                  <c:v>Población no involucrada</c:v>
                </c:pt>
              </c:strCache>
            </c:strRef>
          </c:cat>
          <c:val>
            <c:numRef>
              <c:f>'APS 2025 C1'!$B$151:$C$151</c:f>
              <c:numCache>
                <c:formatCode>0.0%</c:formatCode>
                <c:ptCount val="2"/>
                <c:pt idx="0">
                  <c:v>0.74099999999999999</c:v>
                </c:pt>
                <c:pt idx="1">
                  <c:v>0.54700000000000004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97-FD49-9319-462EFC162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9176383"/>
        <c:axId val="1709174143"/>
      </c:barChart>
      <c:catAx>
        <c:axId val="1709176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9174143"/>
        <c:crosses val="autoZero"/>
        <c:auto val="1"/>
        <c:lblAlgn val="ctr"/>
        <c:lblOffset val="100"/>
        <c:noMultiLvlLbl val="0"/>
      </c:catAx>
      <c:valAx>
        <c:axId val="170917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917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v>Extremadura</c:v>
          </c:tx>
          <c:marker>
            <c:symbol val="none"/>
          </c:marker>
          <c:cat>
            <c:strRef>
              <c:f>'APS 2025 C1'!$A$198:$A$205</c:f>
              <c:strCache>
                <c:ptCount val="8"/>
                <c:pt idx="0">
                  <c:v>Buenas oportunidades en los próximos 6 meses</c:v>
                </c:pt>
                <c:pt idx="1">
                  <c:v>Conocimientos, habilidades y experiencia para emprender</c:v>
                </c:pt>
                <c:pt idx="2">
                  <c:v>Miedo al fracaso</c:v>
                </c:pt>
                <c:pt idx="3">
                  <c:v>Conoce empresario que crea una empresa en los últimos 2 años</c:v>
                </c:pt>
                <c:pt idx="4">
                  <c:v>Emprender es una buena opción profesional</c:v>
                </c:pt>
                <c:pt idx="5">
                  <c:v>Difusión del emprendimiento en medios de comunicación</c:v>
                </c:pt>
                <c:pt idx="6">
                  <c:v>Triunfar con una empresa proporciona buen status social</c:v>
                </c:pt>
                <c:pt idx="7">
                  <c:v>Facilidad para iniciar un negocio</c:v>
                </c:pt>
              </c:strCache>
            </c:strRef>
          </c:cat>
          <c:val>
            <c:numRef>
              <c:f>'APS 2025 C1'!$B$198:$B$205</c:f>
              <c:numCache>
                <c:formatCode>0.0%</c:formatCode>
                <c:ptCount val="8"/>
                <c:pt idx="0">
                  <c:v>0.35399999999999998</c:v>
                </c:pt>
                <c:pt idx="1">
                  <c:v>0.53700000000000003</c:v>
                </c:pt>
                <c:pt idx="2">
                  <c:v>0.54300000000000004</c:v>
                </c:pt>
                <c:pt idx="3">
                  <c:v>0.56200000000000006</c:v>
                </c:pt>
                <c:pt idx="4">
                  <c:v>0.45600000000000002</c:v>
                </c:pt>
                <c:pt idx="5">
                  <c:v>0.48099999999999998</c:v>
                </c:pt>
                <c:pt idx="6">
                  <c:v>0.58599999999999997</c:v>
                </c:pt>
                <c:pt idx="7">
                  <c:v>0.29399999999999998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B-424C-828F-2AF28587AF8D}"/>
            </c:ext>
          </c:extLst>
        </c:ser>
        <c:ser>
          <c:idx val="1"/>
          <c:order val="1"/>
          <c:tx>
            <c:strRef>
              <c:f>'APS 2025 C1'!$C$197</c:f>
              <c:strCache>
                <c:ptCount val="1"/>
                <c:pt idx="0">
                  <c:v>Cáceres</c:v>
                </c:pt>
              </c:strCache>
            </c:strRef>
          </c:tx>
          <c:marker>
            <c:symbol val="none"/>
          </c:marker>
          <c:cat>
            <c:strRef>
              <c:f>'APS 2025 C1'!$A$198:$A$205</c:f>
              <c:strCache>
                <c:ptCount val="8"/>
                <c:pt idx="0">
                  <c:v>Buenas oportunidades en los próximos 6 meses</c:v>
                </c:pt>
                <c:pt idx="1">
                  <c:v>Conocimientos, habilidades y experiencia para emprender</c:v>
                </c:pt>
                <c:pt idx="2">
                  <c:v>Miedo al fracaso</c:v>
                </c:pt>
                <c:pt idx="3">
                  <c:v>Conoce empresario que crea una empresa en los últimos 2 años</c:v>
                </c:pt>
                <c:pt idx="4">
                  <c:v>Emprender es una buena opción profesional</c:v>
                </c:pt>
                <c:pt idx="5">
                  <c:v>Difusión del emprendimiento en medios de comunicación</c:v>
                </c:pt>
                <c:pt idx="6">
                  <c:v>Triunfar con una empresa proporciona buen status social</c:v>
                </c:pt>
                <c:pt idx="7">
                  <c:v>Facilidad para iniciar un negocio</c:v>
                </c:pt>
              </c:strCache>
            </c:strRef>
          </c:cat>
          <c:val>
            <c:numRef>
              <c:f>'APS 2025 C1'!$C$198:$C$205</c:f>
              <c:numCache>
                <c:formatCode>0.0%</c:formatCode>
                <c:ptCount val="8"/>
                <c:pt idx="0">
                  <c:v>0.33700000000000002</c:v>
                </c:pt>
                <c:pt idx="1">
                  <c:v>0.50800000000000001</c:v>
                </c:pt>
                <c:pt idx="2">
                  <c:v>0.50700000000000001</c:v>
                </c:pt>
                <c:pt idx="3">
                  <c:v>0.57699999999999996</c:v>
                </c:pt>
                <c:pt idx="4">
                  <c:v>0.46200000000000002</c:v>
                </c:pt>
                <c:pt idx="5">
                  <c:v>0.46400000000000002</c:v>
                </c:pt>
                <c:pt idx="6">
                  <c:v>0.61399999999999999</c:v>
                </c:pt>
                <c:pt idx="7">
                  <c:v>0.27400000000000002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AB-424C-828F-2AF28587AF8D}"/>
            </c:ext>
          </c:extLst>
        </c:ser>
        <c:ser>
          <c:idx val="2"/>
          <c:order val="2"/>
          <c:tx>
            <c:strRef>
              <c:f>'APS 2025 C1'!$D$197</c:f>
              <c:strCache>
                <c:ptCount val="1"/>
                <c:pt idx="0">
                  <c:v>Badajoz</c:v>
                </c:pt>
              </c:strCache>
            </c:strRef>
          </c:tx>
          <c:marker>
            <c:symbol val="none"/>
          </c:marker>
          <c:cat>
            <c:strRef>
              <c:f>'APS 2025 C1'!$A$198:$A$205</c:f>
              <c:strCache>
                <c:ptCount val="8"/>
                <c:pt idx="0">
                  <c:v>Buenas oportunidades en los próximos 6 meses</c:v>
                </c:pt>
                <c:pt idx="1">
                  <c:v>Conocimientos, habilidades y experiencia para emprender</c:v>
                </c:pt>
                <c:pt idx="2">
                  <c:v>Miedo al fracaso</c:v>
                </c:pt>
                <c:pt idx="3">
                  <c:v>Conoce empresario que crea una empresa en los últimos 2 años</c:v>
                </c:pt>
                <c:pt idx="4">
                  <c:v>Emprender es una buena opción profesional</c:v>
                </c:pt>
                <c:pt idx="5">
                  <c:v>Difusión del emprendimiento en medios de comunicación</c:v>
                </c:pt>
                <c:pt idx="6">
                  <c:v>Triunfar con una empresa proporciona buen status social</c:v>
                </c:pt>
                <c:pt idx="7">
                  <c:v>Facilidad para iniciar un negocio</c:v>
                </c:pt>
              </c:strCache>
            </c:strRef>
          </c:cat>
          <c:val>
            <c:numRef>
              <c:f>'APS 2025 C1'!$D$198:$D$205</c:f>
              <c:numCache>
                <c:formatCode>0.0%</c:formatCode>
                <c:ptCount val="8"/>
                <c:pt idx="0">
                  <c:v>0.36399999999999999</c:v>
                </c:pt>
                <c:pt idx="1">
                  <c:v>0.55300000000000005</c:v>
                </c:pt>
                <c:pt idx="2">
                  <c:v>0.56299999999999994</c:v>
                </c:pt>
                <c:pt idx="3">
                  <c:v>0.53500000000000003</c:v>
                </c:pt>
                <c:pt idx="4">
                  <c:v>0.45300000000000001</c:v>
                </c:pt>
                <c:pt idx="5">
                  <c:v>0.49099999999999999</c:v>
                </c:pt>
                <c:pt idx="6">
                  <c:v>0.56999999999999995</c:v>
                </c:pt>
                <c:pt idx="7">
                  <c:v>0.30599999999999999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AB-424C-828F-2AF28587A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638376"/>
        <c:axId val="395643864"/>
      </c:radarChart>
      <c:catAx>
        <c:axId val="395638376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s-ES"/>
          </a:p>
        </c:txPr>
        <c:crossAx val="395643864"/>
        <c:crosses val="autoZero"/>
        <c:auto val="1"/>
        <c:lblAlgn val="ctr"/>
        <c:lblOffset val="100"/>
        <c:noMultiLvlLbl val="0"/>
      </c:catAx>
      <c:valAx>
        <c:axId val="395643864"/>
        <c:scaling>
          <c:orientation val="minMax"/>
        </c:scaling>
        <c:delete val="0"/>
        <c:axPos val="l"/>
        <c:majorGridlines/>
        <c:numFmt formatCode="0.0%" sourceLinked="1"/>
        <c:majorTickMark val="cross"/>
        <c:minorTickMark val="none"/>
        <c:tickLblPos val="nextTo"/>
        <c:txPr>
          <a:bodyPr/>
          <a:lstStyle/>
          <a:p>
            <a:pPr>
              <a:defRPr b="0"/>
            </a:pPr>
            <a:endParaRPr lang="es-ES"/>
          </a:p>
        </c:txPr>
        <c:crossAx val="39563837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'NES 2025 C1'!$B$5</c:f>
              <c:strCache>
                <c:ptCount val="1"/>
                <c:pt idx="0">
                  <c:v>EXTREMADURA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C1'!$A$6:$A$18</c:f>
              <c:strCache>
                <c:ptCount val="13"/>
                <c:pt idx="0">
                  <c:v>Educación y formación emprendedora (Etapa escolar)</c:v>
                </c:pt>
                <c:pt idx="1">
                  <c:v>Normas sociales y culturales</c:v>
                </c:pt>
                <c:pt idx="2">
                  <c:v>Financiación para emprendedores</c:v>
                </c:pt>
                <c:pt idx="3">
                  <c:v>Barreras de acceso al mercado interno</c:v>
                </c:pt>
                <c:pt idx="4">
                  <c:v>Políticas gubernamentales (burocracia e impuestos)</c:v>
                </c:pt>
                <c:pt idx="5">
                  <c:v>Facilidad para acceder a la financiación para los emprendedores</c:v>
                </c:pt>
                <c:pt idx="6">
                  <c:v>Dinámica del mercado interno</c:v>
                </c:pt>
                <c:pt idx="7">
                  <c:v>Transferencia de I+D</c:v>
                </c:pt>
                <c:pt idx="8">
                  <c:v>Educación y formación emprendedora (Etapa post)</c:v>
                </c:pt>
                <c:pt idx="9">
                  <c:v>Políticas gubernamentales (emprendimiento como prioridad y su apoyo)</c:v>
                </c:pt>
                <c:pt idx="10">
                  <c:v>Acceso a infraestructura comercial y profesional</c:v>
                </c:pt>
                <c:pt idx="11">
                  <c:v>Acceso a infraestructura física y de servicios</c:v>
                </c:pt>
                <c:pt idx="12">
                  <c:v>Programas gubernamentales</c:v>
                </c:pt>
              </c:strCache>
            </c:strRef>
          </c:cat>
          <c:val>
            <c:numRef>
              <c:f>'NES 2025 C1'!$B$6:$B$18</c:f>
              <c:numCache>
                <c:formatCode>General</c:formatCode>
                <c:ptCount val="13"/>
                <c:pt idx="0">
                  <c:v>2.8</c:v>
                </c:pt>
                <c:pt idx="1">
                  <c:v>3.8</c:v>
                </c:pt>
                <c:pt idx="2">
                  <c:v>3.9</c:v>
                </c:pt>
                <c:pt idx="3">
                  <c:v>4.3</c:v>
                </c:pt>
                <c:pt idx="4">
                  <c:v>4.5</c:v>
                </c:pt>
                <c:pt idx="5">
                  <c:v>4.4000000000000004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5.3</c:v>
                </c:pt>
                <c:pt idx="10">
                  <c:v>5.3</c:v>
                </c:pt>
                <c:pt idx="11">
                  <c:v>6.2</c:v>
                </c:pt>
                <c:pt idx="12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9-421F-9C11-A68198F449AB}"/>
            </c:ext>
          </c:extLst>
        </c:ser>
        <c:ser>
          <c:idx val="1"/>
          <c:order val="1"/>
          <c:tx>
            <c:strRef>
              <c:f>'NES 2025 C1'!$C$5</c:f>
              <c:strCache>
                <c:ptCount val="1"/>
                <c:pt idx="0">
                  <c:v>EXTREMADURA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'NES 2025 C1'!$A$6:$A$18</c:f>
              <c:strCache>
                <c:ptCount val="13"/>
                <c:pt idx="0">
                  <c:v>Educación y formación emprendedora (Etapa escolar)</c:v>
                </c:pt>
                <c:pt idx="1">
                  <c:v>Normas sociales y culturales</c:v>
                </c:pt>
                <c:pt idx="2">
                  <c:v>Financiación para emprendedores</c:v>
                </c:pt>
                <c:pt idx="3">
                  <c:v>Barreras de acceso al mercado interno</c:v>
                </c:pt>
                <c:pt idx="4">
                  <c:v>Políticas gubernamentales (burocracia e impuestos)</c:v>
                </c:pt>
                <c:pt idx="5">
                  <c:v>Facilidad para acceder a la financiación para los emprendedores</c:v>
                </c:pt>
                <c:pt idx="6">
                  <c:v>Dinámica del mercado interno</c:v>
                </c:pt>
                <c:pt idx="7">
                  <c:v>Transferencia de I+D</c:v>
                </c:pt>
                <c:pt idx="8">
                  <c:v>Educación y formación emprendedora (Etapa post)</c:v>
                </c:pt>
                <c:pt idx="9">
                  <c:v>Políticas gubernamentales (emprendimiento como prioridad y su apoyo)</c:v>
                </c:pt>
                <c:pt idx="10">
                  <c:v>Acceso a infraestructura comercial y profesional</c:v>
                </c:pt>
                <c:pt idx="11">
                  <c:v>Acceso a infraestructura física y de servicios</c:v>
                </c:pt>
                <c:pt idx="12">
                  <c:v>Programas gubernamentales</c:v>
                </c:pt>
              </c:strCache>
            </c:strRef>
          </c:cat>
          <c:val>
            <c:numRef>
              <c:f>'NES 2025 C1'!$C$6:$C$18</c:f>
              <c:numCache>
                <c:formatCode>General</c:formatCode>
                <c:ptCount val="13"/>
                <c:pt idx="0">
                  <c:v>3</c:v>
                </c:pt>
                <c:pt idx="1">
                  <c:v>3.8</c:v>
                </c:pt>
                <c:pt idx="2">
                  <c:v>4.2</c:v>
                </c:pt>
                <c:pt idx="3">
                  <c:v>4.3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4.7</c:v>
                </c:pt>
                <c:pt idx="8">
                  <c:v>5</c:v>
                </c:pt>
                <c:pt idx="9">
                  <c:v>5.0999999999999996</c:v>
                </c:pt>
                <c:pt idx="10">
                  <c:v>5.4</c:v>
                </c:pt>
                <c:pt idx="11">
                  <c:v>5.9</c:v>
                </c:pt>
                <c:pt idx="12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9-421F-9C11-A68198F44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4588896"/>
        <c:axId val="2044577856"/>
      </c:barChart>
      <c:catAx>
        <c:axId val="204458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77856"/>
        <c:crosses val="autoZero"/>
        <c:auto val="1"/>
        <c:lblAlgn val="ctr"/>
        <c:lblOffset val="100"/>
        <c:noMultiLvlLbl val="0"/>
      </c:catAx>
      <c:valAx>
        <c:axId val="204457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8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'NES 2025 C1'!$B$21</c:f>
              <c:strCache>
                <c:ptCount val="1"/>
                <c:pt idx="0">
                  <c:v>EXTREMADURA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C1'!$A$22:$A$34</c:f>
              <c:strCache>
                <c:ptCount val="13"/>
                <c:pt idx="0">
                  <c:v>Programas gubernamentales</c:v>
                </c:pt>
                <c:pt idx="1">
                  <c:v>Acceso a infraestructura física y de servicios</c:v>
                </c:pt>
                <c:pt idx="2">
                  <c:v>Acceso a infraestructura comercial y profesional</c:v>
                </c:pt>
                <c:pt idx="3">
                  <c:v>Políticas gubernamentales (emprendimiento como prioridad y su apoyo)</c:v>
                </c:pt>
                <c:pt idx="4">
                  <c:v>Educación y formación emprendedora (Etapa post)</c:v>
                </c:pt>
                <c:pt idx="5">
                  <c:v>Transferencia de I+D</c:v>
                </c:pt>
                <c:pt idx="6">
                  <c:v>Políticas gubernamentales (burocracia e impuestos)</c:v>
                </c:pt>
                <c:pt idx="7">
                  <c:v>Facilidad para acceder a la financiación para los emprendedores</c:v>
                </c:pt>
                <c:pt idx="8">
                  <c:v>Dinámica del mercado interno</c:v>
                </c:pt>
                <c:pt idx="9">
                  <c:v>Barreras de acceso al mercado interno</c:v>
                </c:pt>
                <c:pt idx="10">
                  <c:v>Financiación para emprendedores</c:v>
                </c:pt>
                <c:pt idx="11">
                  <c:v>Normas sociales y culturales</c:v>
                </c:pt>
                <c:pt idx="12">
                  <c:v>Educación y formación emprendedora (Etapa escolar)</c:v>
                </c:pt>
              </c:strCache>
            </c:strRef>
          </c:cat>
          <c:val>
            <c:numRef>
              <c:f>'NES 2025 C1'!$B$22:$B$34</c:f>
              <c:numCache>
                <c:formatCode>General</c:formatCode>
                <c:ptCount val="13"/>
                <c:pt idx="0">
                  <c:v>6.6</c:v>
                </c:pt>
                <c:pt idx="1">
                  <c:v>6.2</c:v>
                </c:pt>
                <c:pt idx="2">
                  <c:v>5.3</c:v>
                </c:pt>
                <c:pt idx="3">
                  <c:v>5.3</c:v>
                </c:pt>
                <c:pt idx="4">
                  <c:v>4.8</c:v>
                </c:pt>
                <c:pt idx="5">
                  <c:v>4.8</c:v>
                </c:pt>
                <c:pt idx="6">
                  <c:v>4.5</c:v>
                </c:pt>
                <c:pt idx="7">
                  <c:v>4.4000000000000004</c:v>
                </c:pt>
                <c:pt idx="8">
                  <c:v>4.8</c:v>
                </c:pt>
                <c:pt idx="9">
                  <c:v>4.3</c:v>
                </c:pt>
                <c:pt idx="10">
                  <c:v>3.9</c:v>
                </c:pt>
                <c:pt idx="11">
                  <c:v>3.8</c:v>
                </c:pt>
                <c:pt idx="12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2-4EF7-933F-8EAEC5B88C88}"/>
            </c:ext>
          </c:extLst>
        </c:ser>
        <c:ser>
          <c:idx val="1"/>
          <c:order val="1"/>
          <c:tx>
            <c:strRef>
              <c:f>'NES 2025 C1'!$C$21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'NES 2025 C1'!$A$22:$A$34</c:f>
              <c:strCache>
                <c:ptCount val="13"/>
                <c:pt idx="0">
                  <c:v>Programas gubernamentales</c:v>
                </c:pt>
                <c:pt idx="1">
                  <c:v>Acceso a infraestructura física y de servicios</c:v>
                </c:pt>
                <c:pt idx="2">
                  <c:v>Acceso a infraestructura comercial y profesional</c:v>
                </c:pt>
                <c:pt idx="3">
                  <c:v>Políticas gubernamentales (emprendimiento como prioridad y su apoyo)</c:v>
                </c:pt>
                <c:pt idx="4">
                  <c:v>Educación y formación emprendedora (Etapa post)</c:v>
                </c:pt>
                <c:pt idx="5">
                  <c:v>Transferencia de I+D</c:v>
                </c:pt>
                <c:pt idx="6">
                  <c:v>Políticas gubernamentales (burocracia e impuestos)</c:v>
                </c:pt>
                <c:pt idx="7">
                  <c:v>Facilidad para acceder a la financiación para los emprendedores</c:v>
                </c:pt>
                <c:pt idx="8">
                  <c:v>Dinámica del mercado interno</c:v>
                </c:pt>
                <c:pt idx="9">
                  <c:v>Barreras de acceso al mercado interno</c:v>
                </c:pt>
                <c:pt idx="10">
                  <c:v>Financiación para emprendedores</c:v>
                </c:pt>
                <c:pt idx="11">
                  <c:v>Normas sociales y culturales</c:v>
                </c:pt>
                <c:pt idx="12">
                  <c:v>Educación y formación emprendedora (Etapa escolar)</c:v>
                </c:pt>
              </c:strCache>
            </c:strRef>
          </c:cat>
          <c:val>
            <c:numRef>
              <c:f>'NES 2025 C1'!$C$22:$C$34</c:f>
              <c:numCache>
                <c:formatCode>General</c:formatCode>
                <c:ptCount val="13"/>
                <c:pt idx="0">
                  <c:v>7</c:v>
                </c:pt>
                <c:pt idx="1">
                  <c:v>6.5</c:v>
                </c:pt>
                <c:pt idx="2">
                  <c:v>5.9</c:v>
                </c:pt>
                <c:pt idx="3">
                  <c:v>5.6</c:v>
                </c:pt>
                <c:pt idx="4">
                  <c:v>5.0999999999999996</c:v>
                </c:pt>
                <c:pt idx="5">
                  <c:v>5.2</c:v>
                </c:pt>
                <c:pt idx="6">
                  <c:v>5.2</c:v>
                </c:pt>
                <c:pt idx="7">
                  <c:v>5.3</c:v>
                </c:pt>
                <c:pt idx="8">
                  <c:v>4.5999999999999996</c:v>
                </c:pt>
                <c:pt idx="9">
                  <c:v>4.8</c:v>
                </c:pt>
                <c:pt idx="10">
                  <c:v>4</c:v>
                </c:pt>
                <c:pt idx="11">
                  <c:v>3.8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E2-4EF7-933F-8EAEC5B88C88}"/>
            </c:ext>
          </c:extLst>
        </c:ser>
        <c:ser>
          <c:idx val="2"/>
          <c:order val="2"/>
          <c:tx>
            <c:strRef>
              <c:f>'NES 2025 C1'!$D$21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'NES 2025 C1'!$A$22:$A$34</c:f>
              <c:strCache>
                <c:ptCount val="13"/>
                <c:pt idx="0">
                  <c:v>Programas gubernamentales</c:v>
                </c:pt>
                <c:pt idx="1">
                  <c:v>Acceso a infraestructura física y de servicios</c:v>
                </c:pt>
                <c:pt idx="2">
                  <c:v>Acceso a infraestructura comercial y profesional</c:v>
                </c:pt>
                <c:pt idx="3">
                  <c:v>Políticas gubernamentales (emprendimiento como prioridad y su apoyo)</c:v>
                </c:pt>
                <c:pt idx="4">
                  <c:v>Educación y formación emprendedora (Etapa post)</c:v>
                </c:pt>
                <c:pt idx="5">
                  <c:v>Transferencia de I+D</c:v>
                </c:pt>
                <c:pt idx="6">
                  <c:v>Políticas gubernamentales (burocracia e impuestos)</c:v>
                </c:pt>
                <c:pt idx="7">
                  <c:v>Facilidad para acceder a la financiación para los emprendedores</c:v>
                </c:pt>
                <c:pt idx="8">
                  <c:v>Dinámica del mercado interno</c:v>
                </c:pt>
                <c:pt idx="9">
                  <c:v>Barreras de acceso al mercado interno</c:v>
                </c:pt>
                <c:pt idx="10">
                  <c:v>Financiación para emprendedores</c:v>
                </c:pt>
                <c:pt idx="11">
                  <c:v>Normas sociales y culturales</c:v>
                </c:pt>
                <c:pt idx="12">
                  <c:v>Educación y formación emprendedora (Etapa escolar)</c:v>
                </c:pt>
              </c:strCache>
            </c:strRef>
          </c:cat>
          <c:val>
            <c:numRef>
              <c:f>'NES 2025 C1'!$D$22:$D$34</c:f>
              <c:numCache>
                <c:formatCode>General</c:formatCode>
                <c:ptCount val="13"/>
                <c:pt idx="0">
                  <c:v>6.3</c:v>
                </c:pt>
                <c:pt idx="1">
                  <c:v>6</c:v>
                </c:pt>
                <c:pt idx="2">
                  <c:v>4.7</c:v>
                </c:pt>
                <c:pt idx="3">
                  <c:v>5</c:v>
                </c:pt>
                <c:pt idx="4">
                  <c:v>4.5999999999999996</c:v>
                </c:pt>
                <c:pt idx="5">
                  <c:v>4.4000000000000004</c:v>
                </c:pt>
                <c:pt idx="6">
                  <c:v>4.4000000000000004</c:v>
                </c:pt>
                <c:pt idx="7">
                  <c:v>3.7</c:v>
                </c:pt>
                <c:pt idx="8">
                  <c:v>4.2</c:v>
                </c:pt>
                <c:pt idx="9">
                  <c:v>3.8</c:v>
                </c:pt>
                <c:pt idx="10">
                  <c:v>3.8</c:v>
                </c:pt>
                <c:pt idx="11">
                  <c:v>3.8</c:v>
                </c:pt>
                <c:pt idx="12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E2-4EF7-933F-8EAEC5B88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038752"/>
        <c:axId val="163039232"/>
      </c:barChart>
      <c:catAx>
        <c:axId val="16303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039232"/>
        <c:crosses val="autoZero"/>
        <c:auto val="1"/>
        <c:lblAlgn val="ctr"/>
        <c:lblOffset val="100"/>
        <c:noMultiLvlLbl val="0"/>
      </c:catAx>
      <c:valAx>
        <c:axId val="1630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03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'NES 2025 C1'!$B$37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C1'!$A$38:$A$50</c:f>
              <c:strCache>
                <c:ptCount val="13"/>
                <c:pt idx="0">
                  <c:v>Educación y formación emprendedora (etapa escolar)</c:v>
                </c:pt>
                <c:pt idx="1">
                  <c:v>Normas sociales y culturales</c:v>
                </c:pt>
                <c:pt idx="2">
                  <c:v>Financiación para emprendedores</c:v>
                </c:pt>
                <c:pt idx="3">
                  <c:v>Barreras de acceso al mercado interno</c:v>
                </c:pt>
                <c:pt idx="4">
                  <c:v>Dinámica del mercado interno</c:v>
                </c:pt>
                <c:pt idx="5">
                  <c:v>Políticas gubernamentales: burocracia e impuestos</c:v>
                </c:pt>
                <c:pt idx="6">
                  <c:v>Facilidad para acceder a la financiación de los emprendedores</c:v>
                </c:pt>
                <c:pt idx="7">
                  <c:v>Transferencia de I + D</c:v>
                </c:pt>
                <c:pt idx="8">
                  <c:v>Educación y formación emprendedora (etapa post) </c:v>
                </c:pt>
                <c:pt idx="9">
                  <c:v>Políticas gubernamentales: emprendimiento como prioridad y su apoyo</c:v>
                </c:pt>
                <c:pt idx="10">
                  <c:v>Acceso a infraestructura comercial y profesional</c:v>
                </c:pt>
                <c:pt idx="11">
                  <c:v>Acceso a infraestructura física y de servicios</c:v>
                </c:pt>
                <c:pt idx="12">
                  <c:v>Programas gubernamentales</c:v>
                </c:pt>
              </c:strCache>
            </c:strRef>
          </c:cat>
          <c:val>
            <c:numRef>
              <c:f>'NES 2025 C1'!$B$38:$B$50</c:f>
              <c:numCache>
                <c:formatCode>General</c:formatCode>
                <c:ptCount val="13"/>
                <c:pt idx="0">
                  <c:v>2.8</c:v>
                </c:pt>
                <c:pt idx="1">
                  <c:v>3.8</c:v>
                </c:pt>
                <c:pt idx="2">
                  <c:v>3.9</c:v>
                </c:pt>
                <c:pt idx="3">
                  <c:v>4.3</c:v>
                </c:pt>
                <c:pt idx="4">
                  <c:v>4.5</c:v>
                </c:pt>
                <c:pt idx="5">
                  <c:v>4.4000000000000004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5.3</c:v>
                </c:pt>
                <c:pt idx="10">
                  <c:v>5.3</c:v>
                </c:pt>
                <c:pt idx="11">
                  <c:v>6.2</c:v>
                </c:pt>
                <c:pt idx="12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7-41E7-A37E-51ACED7832E8}"/>
            </c:ext>
          </c:extLst>
        </c:ser>
        <c:ser>
          <c:idx val="1"/>
          <c:order val="1"/>
          <c:tx>
            <c:strRef>
              <c:f>'NES 2025 C1'!$C$37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'NES 2025 C1'!$A$38:$A$50</c:f>
              <c:strCache>
                <c:ptCount val="13"/>
                <c:pt idx="0">
                  <c:v>Educación y formación emprendedora (etapa escolar)</c:v>
                </c:pt>
                <c:pt idx="1">
                  <c:v>Normas sociales y culturales</c:v>
                </c:pt>
                <c:pt idx="2">
                  <c:v>Financiación para emprendedores</c:v>
                </c:pt>
                <c:pt idx="3">
                  <c:v>Barreras de acceso al mercado interno</c:v>
                </c:pt>
                <c:pt idx="4">
                  <c:v>Dinámica del mercado interno</c:v>
                </c:pt>
                <c:pt idx="5">
                  <c:v>Políticas gubernamentales: burocracia e impuestos</c:v>
                </c:pt>
                <c:pt idx="6">
                  <c:v>Facilidad para acceder a la financiación de los emprendedores</c:v>
                </c:pt>
                <c:pt idx="7">
                  <c:v>Transferencia de I + D</c:v>
                </c:pt>
                <c:pt idx="8">
                  <c:v>Educación y formación emprendedora (etapa post) </c:v>
                </c:pt>
                <c:pt idx="9">
                  <c:v>Políticas gubernamentales: emprendimiento como prioridad y su apoyo</c:v>
                </c:pt>
                <c:pt idx="10">
                  <c:v>Acceso a infraestructura comercial y profesional</c:v>
                </c:pt>
                <c:pt idx="11">
                  <c:v>Acceso a infraestructura física y de servicios</c:v>
                </c:pt>
                <c:pt idx="12">
                  <c:v>Programas gubernamentales</c:v>
                </c:pt>
              </c:strCache>
            </c:strRef>
          </c:cat>
          <c:val>
            <c:numRef>
              <c:f>'NES 2025 C1'!$C$38:$C$50</c:f>
              <c:numCache>
                <c:formatCode>0.0</c:formatCode>
                <c:ptCount val="13"/>
                <c:pt idx="0">
                  <c:v>3.03</c:v>
                </c:pt>
                <c:pt idx="1">
                  <c:v>3.79</c:v>
                </c:pt>
                <c:pt idx="2">
                  <c:v>4.2300000000000004</c:v>
                </c:pt>
                <c:pt idx="3">
                  <c:v>4.29</c:v>
                </c:pt>
                <c:pt idx="4">
                  <c:v>4.46</c:v>
                </c:pt>
                <c:pt idx="5">
                  <c:v>4.5</c:v>
                </c:pt>
                <c:pt idx="6">
                  <c:v>4.53</c:v>
                </c:pt>
                <c:pt idx="7">
                  <c:v>4.74</c:v>
                </c:pt>
                <c:pt idx="8">
                  <c:v>5.03</c:v>
                </c:pt>
                <c:pt idx="9">
                  <c:v>5.0999999999999996</c:v>
                </c:pt>
                <c:pt idx="10">
                  <c:v>5.42</c:v>
                </c:pt>
                <c:pt idx="11">
                  <c:v>5.91</c:v>
                </c:pt>
                <c:pt idx="12">
                  <c:v>6.15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7-41E7-A37E-51ACED7832E8}"/>
            </c:ext>
          </c:extLst>
        </c:ser>
        <c:ser>
          <c:idx val="2"/>
          <c:order val="2"/>
          <c:tx>
            <c:strRef>
              <c:f>'NES 2025 C1'!$D$37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'NES 2025 C1'!$A$38:$A$50</c:f>
              <c:strCache>
                <c:ptCount val="13"/>
                <c:pt idx="0">
                  <c:v>Educación y formación emprendedora (etapa escolar)</c:v>
                </c:pt>
                <c:pt idx="1">
                  <c:v>Normas sociales y culturales</c:v>
                </c:pt>
                <c:pt idx="2">
                  <c:v>Financiación para emprendedores</c:v>
                </c:pt>
                <c:pt idx="3">
                  <c:v>Barreras de acceso al mercado interno</c:v>
                </c:pt>
                <c:pt idx="4">
                  <c:v>Dinámica del mercado interno</c:v>
                </c:pt>
                <c:pt idx="5">
                  <c:v>Políticas gubernamentales: burocracia e impuestos</c:v>
                </c:pt>
                <c:pt idx="6">
                  <c:v>Facilidad para acceder a la financiación de los emprendedores</c:v>
                </c:pt>
                <c:pt idx="7">
                  <c:v>Transferencia de I + D</c:v>
                </c:pt>
                <c:pt idx="8">
                  <c:v>Educación y formación emprendedora (etapa post) </c:v>
                </c:pt>
                <c:pt idx="9">
                  <c:v>Políticas gubernamentales: emprendimiento como prioridad y su apoyo</c:v>
                </c:pt>
                <c:pt idx="10">
                  <c:v>Acceso a infraestructura comercial y profesional</c:v>
                </c:pt>
                <c:pt idx="11">
                  <c:v>Acceso a infraestructura física y de servicios</c:v>
                </c:pt>
                <c:pt idx="12">
                  <c:v>Programas gubernamentales</c:v>
                </c:pt>
              </c:strCache>
            </c:strRef>
          </c:cat>
          <c:val>
            <c:numRef>
              <c:f>'NES 2025 C1'!$D$38:$D$50</c:f>
              <c:numCache>
                <c:formatCode>0.0</c:formatCode>
                <c:ptCount val="13"/>
                <c:pt idx="0">
                  <c:v>3.16</c:v>
                </c:pt>
                <c:pt idx="1">
                  <c:v>4.0599999999999996</c:v>
                </c:pt>
                <c:pt idx="2">
                  <c:v>4.0199999999999996</c:v>
                </c:pt>
                <c:pt idx="3">
                  <c:v>4.09</c:v>
                </c:pt>
                <c:pt idx="4">
                  <c:v>4.53</c:v>
                </c:pt>
                <c:pt idx="5">
                  <c:v>4.5</c:v>
                </c:pt>
                <c:pt idx="6">
                  <c:v>4.16</c:v>
                </c:pt>
                <c:pt idx="7">
                  <c:v>4.4800000000000004</c:v>
                </c:pt>
                <c:pt idx="8">
                  <c:v>5.28</c:v>
                </c:pt>
                <c:pt idx="9">
                  <c:v>5</c:v>
                </c:pt>
                <c:pt idx="10">
                  <c:v>5.34</c:v>
                </c:pt>
                <c:pt idx="11">
                  <c:v>5.77</c:v>
                </c:pt>
                <c:pt idx="12">
                  <c:v>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47-41E7-A37E-51ACED7832E8}"/>
            </c:ext>
          </c:extLst>
        </c:ser>
        <c:ser>
          <c:idx val="3"/>
          <c:order val="3"/>
          <c:tx>
            <c:strRef>
              <c:f>'NES 2025 C1'!$E$37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'NES 2025 C1'!$A$38:$A$50</c:f>
              <c:strCache>
                <c:ptCount val="13"/>
                <c:pt idx="0">
                  <c:v>Educación y formación emprendedora (etapa escolar)</c:v>
                </c:pt>
                <c:pt idx="1">
                  <c:v>Normas sociales y culturales</c:v>
                </c:pt>
                <c:pt idx="2">
                  <c:v>Financiación para emprendedores</c:v>
                </c:pt>
                <c:pt idx="3">
                  <c:v>Barreras de acceso al mercado interno</c:v>
                </c:pt>
                <c:pt idx="4">
                  <c:v>Dinámica del mercado interno</c:v>
                </c:pt>
                <c:pt idx="5">
                  <c:v>Políticas gubernamentales: burocracia e impuestos</c:v>
                </c:pt>
                <c:pt idx="6">
                  <c:v>Facilidad para acceder a la financiación de los emprendedores</c:v>
                </c:pt>
                <c:pt idx="7">
                  <c:v>Transferencia de I + D</c:v>
                </c:pt>
                <c:pt idx="8">
                  <c:v>Educación y formación emprendedora (etapa post) </c:v>
                </c:pt>
                <c:pt idx="9">
                  <c:v>Políticas gubernamentales: emprendimiento como prioridad y su apoyo</c:v>
                </c:pt>
                <c:pt idx="10">
                  <c:v>Acceso a infraestructura comercial y profesional</c:v>
                </c:pt>
                <c:pt idx="11">
                  <c:v>Acceso a infraestructura física y de servicios</c:v>
                </c:pt>
                <c:pt idx="12">
                  <c:v>Programas gubernamentales</c:v>
                </c:pt>
              </c:strCache>
            </c:strRef>
          </c:cat>
          <c:val>
            <c:numRef>
              <c:f>'NES 2025 C1'!$E$38:$E$50</c:f>
              <c:numCache>
                <c:formatCode>0.0</c:formatCode>
                <c:ptCount val="13"/>
                <c:pt idx="0">
                  <c:v>5.0999999999999996</c:v>
                </c:pt>
                <c:pt idx="1">
                  <c:v>4.5999999999999996</c:v>
                </c:pt>
                <c:pt idx="2">
                  <c:v>4</c:v>
                </c:pt>
                <c:pt idx="3">
                  <c:v>4.3</c:v>
                </c:pt>
                <c:pt idx="4">
                  <c:v>4</c:v>
                </c:pt>
                <c:pt idx="5">
                  <c:v>4.2</c:v>
                </c:pt>
                <c:pt idx="6">
                  <c:v>4.3</c:v>
                </c:pt>
                <c:pt idx="7">
                  <c:v>4.5</c:v>
                </c:pt>
                <c:pt idx="8">
                  <c:v>3.7</c:v>
                </c:pt>
                <c:pt idx="9">
                  <c:v>4.9000000000000004</c:v>
                </c:pt>
                <c:pt idx="10">
                  <c:v>5.2</c:v>
                </c:pt>
                <c:pt idx="11">
                  <c:v>6</c:v>
                </c:pt>
                <c:pt idx="12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47-41E7-A37E-51ACED7832E8}"/>
            </c:ext>
          </c:extLst>
        </c:ser>
        <c:ser>
          <c:idx val="4"/>
          <c:order val="4"/>
          <c:tx>
            <c:strRef>
              <c:f>'NES 2025 C1'!$F$37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'NES 2025 C1'!$A$38:$A$50</c:f>
              <c:strCache>
                <c:ptCount val="13"/>
                <c:pt idx="0">
                  <c:v>Educación y formación emprendedora (etapa escolar)</c:v>
                </c:pt>
                <c:pt idx="1">
                  <c:v>Normas sociales y culturales</c:v>
                </c:pt>
                <c:pt idx="2">
                  <c:v>Financiación para emprendedores</c:v>
                </c:pt>
                <c:pt idx="3">
                  <c:v>Barreras de acceso al mercado interno</c:v>
                </c:pt>
                <c:pt idx="4">
                  <c:v>Dinámica del mercado interno</c:v>
                </c:pt>
                <c:pt idx="5">
                  <c:v>Políticas gubernamentales: burocracia e impuestos</c:v>
                </c:pt>
                <c:pt idx="6">
                  <c:v>Facilidad para acceder a la financiación de los emprendedores</c:v>
                </c:pt>
                <c:pt idx="7">
                  <c:v>Transferencia de I + D</c:v>
                </c:pt>
                <c:pt idx="8">
                  <c:v>Educación y formación emprendedora (etapa post) </c:v>
                </c:pt>
                <c:pt idx="9">
                  <c:v>Políticas gubernamentales: emprendimiento como prioridad y su apoyo</c:v>
                </c:pt>
                <c:pt idx="10">
                  <c:v>Acceso a infraestructura comercial y profesional</c:v>
                </c:pt>
                <c:pt idx="11">
                  <c:v>Acceso a infraestructura física y de servicios</c:v>
                </c:pt>
                <c:pt idx="12">
                  <c:v>Programas gubernamentales</c:v>
                </c:pt>
              </c:strCache>
            </c:strRef>
          </c:cat>
          <c:val>
            <c:numRef>
              <c:f>'NES 2025 C1'!$F$38:$F$50</c:f>
              <c:numCache>
                <c:formatCode>0.0</c:formatCode>
                <c:ptCount val="13"/>
                <c:pt idx="0">
                  <c:v>3.6</c:v>
                </c:pt>
                <c:pt idx="1">
                  <c:v>4.34</c:v>
                </c:pt>
                <c:pt idx="2">
                  <c:v>3.88</c:v>
                </c:pt>
                <c:pt idx="3">
                  <c:v>4.71</c:v>
                </c:pt>
                <c:pt idx="4">
                  <c:v>3.7</c:v>
                </c:pt>
                <c:pt idx="5">
                  <c:v>3.93</c:v>
                </c:pt>
                <c:pt idx="6">
                  <c:v>4.04</c:v>
                </c:pt>
                <c:pt idx="7">
                  <c:v>4.46</c:v>
                </c:pt>
                <c:pt idx="8">
                  <c:v>4.92</c:v>
                </c:pt>
                <c:pt idx="9">
                  <c:v>4.87</c:v>
                </c:pt>
                <c:pt idx="10">
                  <c:v>5.4</c:v>
                </c:pt>
                <c:pt idx="11">
                  <c:v>5.63</c:v>
                </c:pt>
                <c:pt idx="12">
                  <c:v>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47-41E7-A37E-51ACED783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772032"/>
        <c:axId val="163768672"/>
      </c:barChart>
      <c:catAx>
        <c:axId val="16377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768672"/>
        <c:crosses val="autoZero"/>
        <c:auto val="1"/>
        <c:lblAlgn val="ctr"/>
        <c:lblOffset val="100"/>
        <c:noMultiLvlLbl val="0"/>
      </c:catAx>
      <c:valAx>
        <c:axId val="16376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77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'NES 2025 C1'!$B$54</c:f>
              <c:strCache>
                <c:ptCount val="1"/>
                <c:pt idx="0">
                  <c:v>EXTREMADURA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C1'!$A$55:$A$67</c:f>
              <c:strCache>
                <c:ptCount val="13"/>
                <c:pt idx="0">
                  <c:v>Educación y formación emprendedora (Etapa escolar)</c:v>
                </c:pt>
                <c:pt idx="1">
                  <c:v>Normas sociales y culturales</c:v>
                </c:pt>
                <c:pt idx="2">
                  <c:v>Financiación para emprendedores</c:v>
                </c:pt>
                <c:pt idx="3">
                  <c:v>Barreras de acceso al mercado interno</c:v>
                </c:pt>
                <c:pt idx="4">
                  <c:v>Facilidad para acceder a la financiación para los emprendedores</c:v>
                </c:pt>
                <c:pt idx="5">
                  <c:v>Políticas gubernamentales (burocracia e impuestos)</c:v>
                </c:pt>
                <c:pt idx="6">
                  <c:v>Educación y formación emprendedora (Etapa post)</c:v>
                </c:pt>
                <c:pt idx="7">
                  <c:v>Transferencia de I+D</c:v>
                </c:pt>
                <c:pt idx="8">
                  <c:v>Dinámica del mercado interno</c:v>
                </c:pt>
                <c:pt idx="9">
                  <c:v>Acceso a infraestructura comercial y profesional</c:v>
                </c:pt>
                <c:pt idx="10">
                  <c:v>Políticas gubernamentales (emprendimiento como prioridad y su apoyo)</c:v>
                </c:pt>
                <c:pt idx="11">
                  <c:v>Acceso a infraestructura física y de servicios</c:v>
                </c:pt>
                <c:pt idx="12">
                  <c:v>Programas gubernamentales</c:v>
                </c:pt>
              </c:strCache>
            </c:strRef>
          </c:cat>
          <c:val>
            <c:numRef>
              <c:f>'NES 2025 C1'!$B$55:$B$67</c:f>
              <c:numCache>
                <c:formatCode>General</c:formatCode>
                <c:ptCount val="13"/>
                <c:pt idx="0">
                  <c:v>2.8</c:v>
                </c:pt>
                <c:pt idx="1">
                  <c:v>3.8</c:v>
                </c:pt>
                <c:pt idx="2">
                  <c:v>3.9</c:v>
                </c:pt>
                <c:pt idx="3">
                  <c:v>4.3</c:v>
                </c:pt>
                <c:pt idx="4">
                  <c:v>4.4000000000000004</c:v>
                </c:pt>
                <c:pt idx="5">
                  <c:v>4.5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5.3</c:v>
                </c:pt>
                <c:pt idx="10">
                  <c:v>5.3</c:v>
                </c:pt>
                <c:pt idx="11">
                  <c:v>6.2</c:v>
                </c:pt>
                <c:pt idx="12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B-4743-BE2B-9AB6C8D6825E}"/>
            </c:ext>
          </c:extLst>
        </c:ser>
        <c:ser>
          <c:idx val="1"/>
          <c:order val="1"/>
          <c:tx>
            <c:strRef>
              <c:f>'NES 2025 C1'!$C$54</c:f>
              <c:strCache>
                <c:ptCount val="1"/>
                <c:pt idx="0">
                  <c:v>ESPAÑA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'NES 2025 C1'!$A$55:$A$67</c:f>
              <c:strCache>
                <c:ptCount val="13"/>
                <c:pt idx="0">
                  <c:v>Educación y formación emprendedora (Etapa escolar)</c:v>
                </c:pt>
                <c:pt idx="1">
                  <c:v>Normas sociales y culturales</c:v>
                </c:pt>
                <c:pt idx="2">
                  <c:v>Financiación para emprendedores</c:v>
                </c:pt>
                <c:pt idx="3">
                  <c:v>Barreras de acceso al mercado interno</c:v>
                </c:pt>
                <c:pt idx="4">
                  <c:v>Facilidad para acceder a la financiación para los emprendedores</c:v>
                </c:pt>
                <c:pt idx="5">
                  <c:v>Políticas gubernamentales (burocracia e impuestos)</c:v>
                </c:pt>
                <c:pt idx="6">
                  <c:v>Educación y formación emprendedora (Etapa post)</c:v>
                </c:pt>
                <c:pt idx="7">
                  <c:v>Transferencia de I+D</c:v>
                </c:pt>
                <c:pt idx="8">
                  <c:v>Dinámica del mercado interno</c:v>
                </c:pt>
                <c:pt idx="9">
                  <c:v>Acceso a infraestructura comercial y profesional</c:v>
                </c:pt>
                <c:pt idx="10">
                  <c:v>Políticas gubernamentales (emprendimiento como prioridad y su apoyo)</c:v>
                </c:pt>
                <c:pt idx="11">
                  <c:v>Acceso a infraestructura física y de servicios</c:v>
                </c:pt>
                <c:pt idx="12">
                  <c:v>Programas gubernamentales</c:v>
                </c:pt>
              </c:strCache>
            </c:strRef>
          </c:cat>
          <c:val>
            <c:numRef>
              <c:f>'NES 2025 C1'!$C$55:$C$67</c:f>
              <c:numCache>
                <c:formatCode>General</c:formatCode>
                <c:ptCount val="13"/>
                <c:pt idx="0">
                  <c:v>2.2999999999999998</c:v>
                </c:pt>
                <c:pt idx="1">
                  <c:v>4.0999999999999996</c:v>
                </c:pt>
                <c:pt idx="2">
                  <c:v>4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4.2</c:v>
                </c:pt>
                <c:pt idx="7">
                  <c:v>5.0999999999999996</c:v>
                </c:pt>
                <c:pt idx="8">
                  <c:v>4.5999999999999996</c:v>
                </c:pt>
                <c:pt idx="9">
                  <c:v>3.3</c:v>
                </c:pt>
                <c:pt idx="10">
                  <c:v>6</c:v>
                </c:pt>
                <c:pt idx="11">
                  <c:v>6.7</c:v>
                </c:pt>
                <c:pt idx="12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4B-4743-BE2B-9AB6C8D6825E}"/>
            </c:ext>
          </c:extLst>
        </c:ser>
        <c:ser>
          <c:idx val="2"/>
          <c:order val="2"/>
          <c:tx>
            <c:strRef>
              <c:f>'NES 2025 C1'!$D$54</c:f>
              <c:strCache>
                <c:ptCount val="1"/>
                <c:pt idx="0">
                  <c:v>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'NES 2025 C1'!$A$55:$A$67</c:f>
              <c:strCache>
                <c:ptCount val="13"/>
                <c:pt idx="0">
                  <c:v>Educación y formación emprendedora (Etapa escolar)</c:v>
                </c:pt>
                <c:pt idx="1">
                  <c:v>Normas sociales y culturales</c:v>
                </c:pt>
                <c:pt idx="2">
                  <c:v>Financiación para emprendedores</c:v>
                </c:pt>
                <c:pt idx="3">
                  <c:v>Barreras de acceso al mercado interno</c:v>
                </c:pt>
                <c:pt idx="4">
                  <c:v>Facilidad para acceder a la financiación para los emprendedores</c:v>
                </c:pt>
                <c:pt idx="5">
                  <c:v>Políticas gubernamentales (burocracia e impuestos)</c:v>
                </c:pt>
                <c:pt idx="6">
                  <c:v>Educación y formación emprendedora (Etapa post)</c:v>
                </c:pt>
                <c:pt idx="7">
                  <c:v>Transferencia de I+D</c:v>
                </c:pt>
                <c:pt idx="8">
                  <c:v>Dinámica del mercado interno</c:v>
                </c:pt>
                <c:pt idx="9">
                  <c:v>Acceso a infraestructura comercial y profesional</c:v>
                </c:pt>
                <c:pt idx="10">
                  <c:v>Políticas gubernamentales (emprendimiento como prioridad y su apoyo)</c:v>
                </c:pt>
                <c:pt idx="11">
                  <c:v>Acceso a infraestructura física y de servicios</c:v>
                </c:pt>
                <c:pt idx="12">
                  <c:v>Programas gubernamentales</c:v>
                </c:pt>
              </c:strCache>
            </c:strRef>
          </c:cat>
          <c:val>
            <c:numRef>
              <c:f>'NES 2025 C1'!$D$55:$D$67</c:f>
              <c:numCache>
                <c:formatCode>General</c:formatCode>
                <c:ptCount val="13"/>
                <c:pt idx="0">
                  <c:v>3.4</c:v>
                </c:pt>
                <c:pt idx="1">
                  <c:v>4.5999999999999996</c:v>
                </c:pt>
                <c:pt idx="2">
                  <c:v>4.7</c:v>
                </c:pt>
                <c:pt idx="3">
                  <c:v>4.5999999999999996</c:v>
                </c:pt>
                <c:pt idx="4">
                  <c:v>4.5</c:v>
                </c:pt>
                <c:pt idx="5">
                  <c:v>4.5</c:v>
                </c:pt>
                <c:pt idx="6">
                  <c:v>4.2</c:v>
                </c:pt>
                <c:pt idx="7">
                  <c:v>4.9000000000000004</c:v>
                </c:pt>
                <c:pt idx="8">
                  <c:v>5.3</c:v>
                </c:pt>
                <c:pt idx="9">
                  <c:v>3.9</c:v>
                </c:pt>
                <c:pt idx="10">
                  <c:v>5.6</c:v>
                </c:pt>
                <c:pt idx="11">
                  <c:v>6.5</c:v>
                </c:pt>
                <c:pt idx="12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B-4743-BE2B-9AB6C8D68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140640"/>
        <c:axId val="160141600"/>
      </c:barChart>
      <c:catAx>
        <c:axId val="16014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141600"/>
        <c:crosses val="autoZero"/>
        <c:auto val="1"/>
        <c:lblAlgn val="ctr"/>
        <c:lblOffset val="100"/>
        <c:noMultiLvlLbl val="0"/>
      </c:catAx>
      <c:valAx>
        <c:axId val="16014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14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Mujeres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C1'!$A$73:$A$80</c:f>
              <c:strCache>
                <c:ptCount val="8"/>
                <c:pt idx="0">
                  <c:v>Hay suficientes servicios de apoyo para que las mujeres puedan seguir dirigiendo sus negocios incluso después de haber iniciado una familia</c:v>
                </c:pt>
                <c:pt idx="1">
                  <c:v>Los servicios de apoyo son asequibles para que las mujeres puedan acceder a ellos y las ayude a poder administrar sus negocios incluso después de haber formado una familia.</c:v>
                </c:pt>
                <c:pt idx="2">
                  <c:v>Las regulaciones y estímulos para el emprendimiento son tan favorables que las mujeres prefieren convertirse en emprendedoras en lugar de convertirse en empleadas públicas o privadas</c:v>
                </c:pt>
                <c:pt idx="3">
                  <c:v>La cultura nacional alienta a mujeres y hombres por igual en cuanto a trabajar por cuenta propia o a iniciar un nuevo negocio</c:v>
                </c:pt>
                <c:pt idx="4">
                  <c:v>Los mercados son usualmente más accesibles para los emprendedores masculinos que para los femeninos</c:v>
                </c:pt>
                <c:pt idx="5">
                  <c:v>La contratación / licitación pública es usualmente más accesible para los emprendedores masculinos que para los femeninos</c:v>
                </c:pt>
                <c:pt idx="6">
                  <c:v>El acceso a financiación (de cualquier tipo de Fuente financiera) es usualmente más fácil para los emprendedores masculinos que femeninos</c:v>
                </c:pt>
                <c:pt idx="7">
                  <c:v>Obtener capital semilla (de cualquier tipo de fuente financiera) es usualmente más fácil para los emprendedores nacientes masculinos que femeninos</c:v>
                </c:pt>
              </c:strCache>
            </c:strRef>
          </c:cat>
          <c:val>
            <c:numRef>
              <c:f>'NES 2025 C1'!$B$73:$B$80</c:f>
              <c:numCache>
                <c:formatCode>0.0</c:formatCode>
                <c:ptCount val="8"/>
                <c:pt idx="0">
                  <c:v>3.47</c:v>
                </c:pt>
                <c:pt idx="1">
                  <c:v>3.51</c:v>
                </c:pt>
                <c:pt idx="2">
                  <c:v>2.63</c:v>
                </c:pt>
                <c:pt idx="3">
                  <c:v>4.8600000000000003</c:v>
                </c:pt>
                <c:pt idx="4">
                  <c:v>4.7300000000000004</c:v>
                </c:pt>
                <c:pt idx="5">
                  <c:v>2.88</c:v>
                </c:pt>
                <c:pt idx="6">
                  <c:v>3.52</c:v>
                </c:pt>
                <c:pt idx="7">
                  <c:v>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7-4314-96BD-0A7F72419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96704"/>
        <c:axId val="15897184"/>
      </c:barChart>
      <c:catAx>
        <c:axId val="1589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97184"/>
        <c:crosses val="autoZero"/>
        <c:auto val="1"/>
        <c:lblAlgn val="ctr"/>
        <c:lblOffset val="100"/>
        <c:noMultiLvlLbl val="0"/>
      </c:catAx>
      <c:valAx>
        <c:axId val="1589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9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Sostenibilidad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C1'!$A$84:$A$96</c:f>
              <c:strCache>
                <c:ptCount val="13"/>
                <c:pt idx="0">
                  <c:v>Las empresas nuevas y en crecimiento priorizan cada vez más su contribución social en lugar de centrarse únicamente en el beneficio económico y la creación de riqueza.</c:v>
                </c:pt>
                <c:pt idx="1">
                  <c:v>Las empresas nuevas y en crecimiento integran principios de responsabilidad social en sus operaciones empresariales.</c:v>
                </c:pt>
                <c:pt idx="2">
                  <c:v>Los inversores están especialmente interesados en financiar nuevas empresas que se centran en la responsabilidad social.</c:v>
                </c:pt>
                <c:pt idx="3">
                  <c:v>Las empresas consideran que pagar impuestos forma parte de su responsabilidad social.</c:v>
                </c:pt>
                <c:pt idx="4">
                  <c:v>Los inversores y otros grupos de interés están satisfechos con el desempeño económico de las empresas en las que han invertido.</c:v>
                </c:pt>
                <c:pt idx="5">
                  <c:v>Las empresas nuevas y en crecimiento fundadas por miembros de grupos minoritarios tienen las mismas oportunidades económicas que otras nuevas empresas.</c:v>
                </c:pt>
                <c:pt idx="6">
                  <c:v>La mayoría de las empresas nuevas y en crecimiento aplican prácticas respetuosas con el medio ambiente al producir productos o prestar servicios.</c:v>
                </c:pt>
                <c:pt idx="7">
                  <c:v>La mayoría de las empresas nuevas y en crecimiento priorizan prácticas de eficiencia energética en sus operaciones.</c:v>
                </c:pt>
                <c:pt idx="8">
                  <c:v>La mayoría de las empresas nuevas y en crecimiento consideran los problemas ambientales como una oportunidad potencial.</c:v>
                </c:pt>
                <c:pt idx="9">
                  <c:v>Las prácticas de sostenibilidad se consideran muy importantes dentro de la cultura empresarial.</c:v>
                </c:pt>
                <c:pt idx="10">
                  <c:v>Existen ejemplos destacados de actividades emprendedoras relacionadas con los Objetivos de Desarrollo Sostenible (ODS) dentro del sector empresarial.</c:v>
                </c:pt>
                <c:pt idx="11">
                  <c:v>El gobierno cuenta con regulaciones específicas que apoyan a las startups orientadas a la sostenibilidad.</c:v>
                </c:pt>
                <c:pt idx="12">
                  <c:v>El gobierno apoya a las empresas orientadas a la sostenibilidad mediante subvenciones, derechos especiales y/o reducciones fiscales.</c:v>
                </c:pt>
              </c:strCache>
            </c:strRef>
          </c:cat>
          <c:val>
            <c:numRef>
              <c:f>'NES 2025 C1'!$B$84:$B$96</c:f>
              <c:numCache>
                <c:formatCode>0.0</c:formatCode>
                <c:ptCount val="13"/>
                <c:pt idx="0">
                  <c:v>4.8899999999999997</c:v>
                </c:pt>
                <c:pt idx="1">
                  <c:v>5.34</c:v>
                </c:pt>
                <c:pt idx="2">
                  <c:v>5.1100000000000003</c:v>
                </c:pt>
                <c:pt idx="3">
                  <c:v>4.21</c:v>
                </c:pt>
                <c:pt idx="4">
                  <c:v>5.33</c:v>
                </c:pt>
                <c:pt idx="5">
                  <c:v>4.8</c:v>
                </c:pt>
                <c:pt idx="6">
                  <c:v>6.06</c:v>
                </c:pt>
                <c:pt idx="7">
                  <c:v>5.9</c:v>
                </c:pt>
                <c:pt idx="8">
                  <c:v>5.66</c:v>
                </c:pt>
                <c:pt idx="9">
                  <c:v>5.58</c:v>
                </c:pt>
                <c:pt idx="10">
                  <c:v>5.99</c:v>
                </c:pt>
                <c:pt idx="11">
                  <c:v>5.71</c:v>
                </c:pt>
                <c:pt idx="12">
                  <c:v>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A-4BB0-B84F-CAC3DF769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172736"/>
        <c:axId val="190169376"/>
      </c:barChart>
      <c:catAx>
        <c:axId val="19017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169376"/>
        <c:crosses val="autoZero"/>
        <c:auto val="1"/>
        <c:lblAlgn val="ctr"/>
        <c:lblOffset val="100"/>
        <c:noMultiLvlLbl val="0"/>
      </c:catAx>
      <c:valAx>
        <c:axId val="19016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17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Financiación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C1'!$A$101:$A$112</c:f>
              <c:strCache>
                <c:ptCount val="12"/>
                <c:pt idx="0">
                  <c:v>Existe suficiente financiación mediante capital propio (equity) para las empresas nuevas y en crecimiento.</c:v>
                </c:pt>
                <c:pt idx="1">
                  <c:v>Existe suficiente financiación mediante deuda para las empresas nuevas y en crecimiento.</c:v>
                </c:pt>
                <c:pt idx="2">
                  <c:v>Existen suficientes subvenciones gubernamentales para las empresas nuevas y en crecimiento.</c:v>
                </c:pt>
                <c:pt idx="3">
                  <c:v>Existe suficiente financiación procedente de inversores informales (familiares, amigos y colegas), es decir, particulares distintos de los fundadores, para las empresas nuevas y en crecimiento.</c:v>
                </c:pt>
                <c:pt idx="4">
                  <c:v>Existe suficiente financiación procedente de Business Angels profesionales para las empresas nuevas y en crecimiento.</c:v>
                </c:pt>
                <c:pt idx="5">
                  <c:v>Existe suficiente financiación procedente de capital riesgo (venture capital) para las empresas nuevas y en crecimiento.</c:v>
                </c:pt>
                <c:pt idx="6">
                  <c:v>Existe suficiente financiación disponible a través de ofertas públicas iniciales (IPOs) para las empresas nuevas y en crecimiento.</c:v>
                </c:pt>
                <c:pt idx="7">
                  <c:v>Existe suficiente financiación disponible a través de prestamistas privados y plataformas de financiación participativa (crowdfunding) para las empresas nuevas y en crecimiento.</c:v>
                </c:pt>
                <c:pt idx="8">
                  <c:v>Es fácil obtener financiación mediante deuda (préstamos bancarios y similares) para las empresas nuevas y en crecimiento.</c:v>
                </c:pt>
                <c:pt idx="9">
                  <c:v>Es fácil contratar servicios de apoyo financiero a un coste razonable para las empresas nuevas y en crecimiento.</c:v>
                </c:pt>
                <c:pt idx="10">
                  <c:v>Es fácil para los emprendedores en fase inicial obtener suficiente capital semilla para cubrir los gastos de creación y las primeras etapas de una nueva empresa.</c:v>
                </c:pt>
                <c:pt idx="11">
                  <c:v>Es fácil atraer inversores o financiación para hacer crecer una empresa una vez superada la fase inicial de creación.</c:v>
                </c:pt>
              </c:strCache>
            </c:strRef>
          </c:cat>
          <c:val>
            <c:numRef>
              <c:f>'NES 2025 C1'!$B$101:$B$112</c:f>
              <c:numCache>
                <c:formatCode>0.0</c:formatCode>
                <c:ptCount val="12"/>
                <c:pt idx="0">
                  <c:v>3.4</c:v>
                </c:pt>
                <c:pt idx="1">
                  <c:v>4.78</c:v>
                </c:pt>
                <c:pt idx="2">
                  <c:v>5.69</c:v>
                </c:pt>
                <c:pt idx="3">
                  <c:v>4.01</c:v>
                </c:pt>
                <c:pt idx="4">
                  <c:v>3.76</c:v>
                </c:pt>
                <c:pt idx="5">
                  <c:v>3.79</c:v>
                </c:pt>
                <c:pt idx="6">
                  <c:v>2.54</c:v>
                </c:pt>
                <c:pt idx="7">
                  <c:v>3.64</c:v>
                </c:pt>
                <c:pt idx="8">
                  <c:v>4.75</c:v>
                </c:pt>
                <c:pt idx="9">
                  <c:v>4.8499999999999996</c:v>
                </c:pt>
                <c:pt idx="10">
                  <c:v>3.96</c:v>
                </c:pt>
                <c:pt idx="11">
                  <c:v>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B-4360-8964-540AC402F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407184"/>
        <c:axId val="113409104"/>
      </c:barChart>
      <c:catAx>
        <c:axId val="11340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409104"/>
        <c:crosses val="autoZero"/>
        <c:auto val="1"/>
        <c:lblAlgn val="ctr"/>
        <c:lblOffset val="100"/>
        <c:noMultiLvlLbl val="0"/>
      </c:catAx>
      <c:valAx>
        <c:axId val="11340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40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Politicas Gubernamentales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C1'!$A$116:$A$123</c:f>
              <c:strCache>
                <c:ptCount val="8"/>
                <c:pt idx="0">
                  <c:v>Las políticas gubernamentales (por ejemplo, la contratación pública) favorecen de manera consistente a las nuevas empresas.</c:v>
                </c:pt>
                <c:pt idx="1">
                  <c:v>El apoyo a las empresas nuevas y en crecimiento es una alta prioridad en las políticas del gobierno nacional.</c:v>
                </c:pt>
                <c:pt idx="2">
                  <c:v>El apoyo a las empresas nuevas y en crecimiento es una alta prioridad en las políticas de los gobiernos locales.</c:v>
                </c:pt>
                <c:pt idx="3">
                  <c:v>Los emprendedores pueden registrar nuevas empresas o negocios a un coste razonable.</c:v>
                </c:pt>
                <c:pt idx="4">
                  <c:v>Las nuevas empresas pueden obtener la mayoría de los permisos y licencias necesarios aproximadamente en una semana.</c:v>
                </c:pt>
                <c:pt idx="5">
                  <c:v>La carga fiscal no representa una carga excesiva para las empresas nuevas y en crecimiento.</c:v>
                </c:pt>
                <c:pt idx="6">
                  <c:v>Los impuestos y otras regulaciones gubernamentales se aplican a las empresas nuevas y en crecimiento de manera predecible y consistente.</c:v>
                </c:pt>
                <c:pt idx="7">
                  <c:v>Gestionar la burocracia gubernamental, las regulaciones y los requisitos de licencias no resulta excesivamente difícil para las empresas nuevas y en crecimiento.</c:v>
                </c:pt>
              </c:strCache>
            </c:strRef>
          </c:cat>
          <c:val>
            <c:numRef>
              <c:f>'NES 2025 C1'!$B$116:$B$123</c:f>
              <c:numCache>
                <c:formatCode>0.0</c:formatCode>
                <c:ptCount val="8"/>
                <c:pt idx="0">
                  <c:v>5.03</c:v>
                </c:pt>
                <c:pt idx="1">
                  <c:v>4.8099999999999996</c:v>
                </c:pt>
                <c:pt idx="2">
                  <c:v>6.1</c:v>
                </c:pt>
                <c:pt idx="3">
                  <c:v>6.22</c:v>
                </c:pt>
                <c:pt idx="4">
                  <c:v>4.2300000000000004</c:v>
                </c:pt>
                <c:pt idx="5">
                  <c:v>3.85</c:v>
                </c:pt>
                <c:pt idx="6">
                  <c:v>4.49</c:v>
                </c:pt>
                <c:pt idx="7">
                  <c:v>3.81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5-4D1F-AF7F-787D0BF8D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664752"/>
        <c:axId val="161661392"/>
      </c:barChart>
      <c:catAx>
        <c:axId val="16166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661392"/>
        <c:crosses val="autoZero"/>
        <c:auto val="1"/>
        <c:lblAlgn val="ctr"/>
        <c:lblOffset val="100"/>
        <c:noMultiLvlLbl val="0"/>
      </c:catAx>
      <c:valAx>
        <c:axId val="16166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66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Politicas Gubernamentales (2)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49663932633420821"/>
          <c:y val="0.19486111111111112"/>
          <c:w val="0.47077734033245844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C1'!$A$127:$A$133</c:f>
              <c:strCache>
                <c:ptCount val="7"/>
                <c:pt idx="0">
                  <c:v>Una amplia gama de ayudas gubernamentales para empresas nuevas y en crecimiento puede obtenerse a través del contacto con una única agencia u organismo.</c:v>
                </c:pt>
                <c:pt idx="1">
                  <c:v>Los parques científicos y tecnológicos y las incubadoras de empresas proporcionan un apoyo eficaz a las empresas nuevas y en crecimiento.</c:v>
                </c:pt>
                <c:pt idx="2">
                  <c:v>Existen incubadoras de empresas disponibles que proporcionan un apoyo eficaz a las empresas nuevas y en crecimiento.</c:v>
                </c:pt>
                <c:pt idx="3">
                  <c:v>Existe un número adecuado de programas gubernamentales para empresas nuevas y en crecimiento.</c:v>
                </c:pt>
                <c:pt idx="4">
                  <c:v>El personal que trabaja en las agencias gubernamentales es competente y eficaz en el apoyo a las empresas nuevas y en crecimiento.</c:v>
                </c:pt>
                <c:pt idx="5">
                  <c:v>Casi cualquier persona que necesite apoyo de un programa gubernamental para una empresa nueva o en crecimiento puede encontrar la ayuda que necesita.</c:v>
                </c:pt>
                <c:pt idx="6">
                  <c:v>Los programas gubernamentales destinados a apoyar a las empresas nuevas y en crecimiento son eficaces.</c:v>
                </c:pt>
              </c:strCache>
            </c:strRef>
          </c:cat>
          <c:val>
            <c:numRef>
              <c:f>'NES 2025 C1'!$B$127:$B$133</c:f>
              <c:numCache>
                <c:formatCode>0.0</c:formatCode>
                <c:ptCount val="7"/>
                <c:pt idx="0">
                  <c:v>6.55</c:v>
                </c:pt>
                <c:pt idx="1">
                  <c:v>7.21</c:v>
                </c:pt>
                <c:pt idx="2">
                  <c:v>7.27</c:v>
                </c:pt>
                <c:pt idx="3">
                  <c:v>6.37</c:v>
                </c:pt>
                <c:pt idx="4">
                  <c:v>6.76</c:v>
                </c:pt>
                <c:pt idx="5">
                  <c:v>6.28</c:v>
                </c:pt>
                <c:pt idx="6">
                  <c:v>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6-4764-AA16-A2F0B41A9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574880"/>
        <c:axId val="136575360"/>
      </c:barChart>
      <c:catAx>
        <c:axId val="13657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575360"/>
        <c:crosses val="autoZero"/>
        <c:auto val="1"/>
        <c:lblAlgn val="ctr"/>
        <c:lblOffset val="100"/>
        <c:noMultiLvlLbl val="0"/>
      </c:catAx>
      <c:valAx>
        <c:axId val="13657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57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Educación</a:t>
            </a:r>
            <a:r>
              <a:rPr lang="es-ES" baseline="0"/>
              <a:t> Etapa (I)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50394575678040243"/>
          <c:y val="0.19486111111111112"/>
          <c:w val="0.46347090988626422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C1'!$A$137:$A$142</c:f>
              <c:strCache>
                <c:ptCount val="6"/>
                <c:pt idx="0">
                  <c:v>La enseñanza en educación primaria y secundaria fomenta la creatividad, la autosuficiencia y la iniciativa personal.</c:v>
                </c:pt>
                <c:pt idx="1">
                  <c:v>La enseñanza en educación primaria y secundaria proporciona una formación adecuada en principios de economía de mercado.</c:v>
                </c:pt>
                <c:pt idx="2">
                  <c:v>La enseñanza en educación primaria y secundaria presta suficiente atención al emprendimiento y a la creación de nuevas empresas.</c:v>
                </c:pt>
                <c:pt idx="3">
                  <c:v>Las universidades y centros de educación superior proporcionan una preparación adecuada para iniciar y hacer crecer nuevas empresas.</c:v>
                </c:pt>
                <c:pt idx="4">
                  <c:v>El nivel de la educación en negocios y gestión proporciona una preparación adecuada para iniciar y hacer crecer nuevas empresas.</c:v>
                </c:pt>
                <c:pt idx="5">
                  <c:v>Los sistemas de formación profesional, educación continua y formación especializada proporcionan una preparación adecuada para iniciar y hacer crecer nuevas empresas.</c:v>
                </c:pt>
              </c:strCache>
            </c:strRef>
          </c:cat>
          <c:val>
            <c:numRef>
              <c:f>'NES 2025 C1'!$B$137:$B$142</c:f>
              <c:numCache>
                <c:formatCode>0.0</c:formatCode>
                <c:ptCount val="6"/>
                <c:pt idx="0">
                  <c:v>3.17</c:v>
                </c:pt>
                <c:pt idx="1">
                  <c:v>2.8</c:v>
                </c:pt>
                <c:pt idx="2">
                  <c:v>2.39</c:v>
                </c:pt>
                <c:pt idx="3">
                  <c:v>3.69</c:v>
                </c:pt>
                <c:pt idx="4">
                  <c:v>5.8</c:v>
                </c:pt>
                <c:pt idx="5">
                  <c:v>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8-4A13-B264-B5CF55455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023616"/>
        <c:axId val="112904944"/>
      </c:barChart>
      <c:catAx>
        <c:axId val="13802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904944"/>
        <c:crosses val="autoZero"/>
        <c:auto val="1"/>
        <c:lblAlgn val="ctr"/>
        <c:lblOffset val="100"/>
        <c:noMultiLvlLbl val="0"/>
      </c:catAx>
      <c:valAx>
        <c:axId val="1129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02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TRANSFERENCIA DE I+D+I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C1'!$A$147:$A$152</c:f>
              <c:strCache>
                <c:ptCount val="6"/>
                <c:pt idx="0">
                  <c:v>Las nuevas tecnologías, la ciencia y otros conocimientos se transfieren de forma eficiente desde las universidades y centros públicos de investigación hacia las empresas nuevas y en crecimiento.</c:v>
                </c:pt>
                <c:pt idx="1">
                  <c:v>Las empresas nuevas y en crecimiento tienen el mismo acceso a nuevas investigaciones y tecnologías que las grandes empresas ya establecidas.</c:v>
                </c:pt>
                <c:pt idx="2">
                  <c:v>Las empresas nuevas y en crecimiento pueden permitirse acceder a las tecnologías más avanzadas.</c:v>
                </c:pt>
                <c:pt idx="3">
                  <c:v>Existen subvenciones gubernamentales adecuadas para que las empresas nuevas y en crecimiento puedan adquirir nuevas tecnologías.</c:v>
                </c:pt>
                <c:pt idx="4">
                  <c:v>La base científica y tecnológica apoya de manera eficiente la creación de nuevas empresas tecnológicas de nivel mundial al menos en algún ámbito.</c:v>
                </c:pt>
                <c:pt idx="5">
                  <c:v>Existe un buen apoyo para que ingenieros y científicos puedan comercializar sus ideas a través de empresas nuevas y en crecimiento.</c:v>
                </c:pt>
              </c:strCache>
            </c:strRef>
          </c:cat>
          <c:val>
            <c:numRef>
              <c:f>'NES 2025 C1'!$B$147:$B$152</c:f>
              <c:numCache>
                <c:formatCode>0.0</c:formatCode>
                <c:ptCount val="6"/>
                <c:pt idx="0">
                  <c:v>4.72</c:v>
                </c:pt>
                <c:pt idx="1">
                  <c:v>4.99</c:v>
                </c:pt>
                <c:pt idx="2">
                  <c:v>3.59</c:v>
                </c:pt>
                <c:pt idx="3">
                  <c:v>5.07</c:v>
                </c:pt>
                <c:pt idx="4">
                  <c:v>5.59</c:v>
                </c:pt>
                <c:pt idx="5">
                  <c:v>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5-46B6-AB93-AB3DCA03E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398304"/>
        <c:axId val="141402624"/>
      </c:barChart>
      <c:catAx>
        <c:axId val="14139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402624"/>
        <c:crosses val="autoZero"/>
        <c:auto val="1"/>
        <c:lblAlgn val="ctr"/>
        <c:lblOffset val="100"/>
        <c:noMultiLvlLbl val="0"/>
      </c:catAx>
      <c:valAx>
        <c:axId val="14140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39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DINÁMICAS DEL MERCADO INTERNO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C1'!$A$157:$A$162</c:f>
              <c:strCache>
                <c:ptCount val="6"/>
                <c:pt idx="0">
                  <c:v>Existen suficientes subcontratistas, proveedores y consultores para apoyar a las empresas nuevas y en crecimiento.</c:v>
                </c:pt>
                <c:pt idx="1">
                  <c:v>Las empresas nuevas y en crecimiento pueden asumir el coste de utilizar subcontratistas, proveedores y consultores.</c:v>
                </c:pt>
                <c:pt idx="2">
                  <c:v>Es fácil para las empresas nuevas y en crecimiento encontrar buenos subcontratistas, proveedores y consultores.</c:v>
                </c:pt>
                <c:pt idx="3">
                  <c:v>Es fácil para las empresas nuevas y en crecimiento acceder a buenos servicios profesionales legales y contables.</c:v>
                </c:pt>
                <c:pt idx="4">
                  <c:v>Es fácil para las empresas nuevas y en crecimiento acceder a buenos servicios bancarios (cuentas corrientes, transacciones en divisas, cartas de crédito y similares).</c:v>
                </c:pt>
                <c:pt idx="5">
                  <c:v>Las empresas nuevas y en crecimiento pueden acceder a servicios de computación en la nube a precios asequibles.</c:v>
                </c:pt>
              </c:strCache>
            </c:strRef>
          </c:cat>
          <c:val>
            <c:numRef>
              <c:f>'NES 2025 C1'!$B$157:$B$162</c:f>
              <c:numCache>
                <c:formatCode>0.0</c:formatCode>
                <c:ptCount val="6"/>
                <c:pt idx="0">
                  <c:v>5.55</c:v>
                </c:pt>
                <c:pt idx="1">
                  <c:v>3.87</c:v>
                </c:pt>
                <c:pt idx="2">
                  <c:v>4.8499999999999996</c:v>
                </c:pt>
                <c:pt idx="3">
                  <c:v>5.44</c:v>
                </c:pt>
                <c:pt idx="4">
                  <c:v>5.91</c:v>
                </c:pt>
                <c:pt idx="5">
                  <c:v>6.13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E-41A4-B099-524C61116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433408"/>
        <c:axId val="167433888"/>
      </c:barChart>
      <c:catAx>
        <c:axId val="16743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433888"/>
        <c:crosses val="autoZero"/>
        <c:auto val="1"/>
        <c:lblAlgn val="ctr"/>
        <c:lblOffset val="100"/>
        <c:noMultiLvlLbl val="0"/>
      </c:catAx>
      <c:valAx>
        <c:axId val="16743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43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BARRERAS DE ACCESO AL MERCADO INTERNO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C1'!$A$166:$A$171</c:f>
              <c:strCache>
                <c:ptCount val="6"/>
                <c:pt idx="0">
                  <c:v>Los mercados de bienes y servicios para consumidores cambian de forma significativa de un año a otro.</c:v>
                </c:pt>
                <c:pt idx="1">
                  <c:v>Los mercados de bienes y servicios entre empresas (business-to-business) cambian de forma significativa de un año a otro.</c:v>
                </c:pt>
                <c:pt idx="2">
                  <c:v>Las empresas nuevas y en crecimiento pueden entrar fácilmente en nuevos mercados.</c:v>
                </c:pt>
                <c:pt idx="3">
                  <c:v>Las empresas nuevas y en crecimiento pueden asumir los costes de entrada al mercado.</c:v>
                </c:pt>
                <c:pt idx="4">
                  <c:v>Las empresas nuevas y en crecimiento pueden acceder a los mercados sin ser bloqueadas injustamente por empresas ya establecidas.</c:v>
                </c:pt>
                <c:pt idx="5">
                  <c:v>La legislación antimonopolio es eficaz y se aplica de manera adecuada.</c:v>
                </c:pt>
              </c:strCache>
            </c:strRef>
          </c:cat>
          <c:val>
            <c:numRef>
              <c:f>'NES 2025 C1'!$B$166:$B$171</c:f>
              <c:numCache>
                <c:formatCode>0.0</c:formatCode>
                <c:ptCount val="6"/>
                <c:pt idx="0">
                  <c:v>4.8099999999999996</c:v>
                </c:pt>
                <c:pt idx="1">
                  <c:v>4.78</c:v>
                </c:pt>
                <c:pt idx="2">
                  <c:v>4.63</c:v>
                </c:pt>
                <c:pt idx="3">
                  <c:v>3.96</c:v>
                </c:pt>
                <c:pt idx="4">
                  <c:v>4.1900000000000004</c:v>
                </c:pt>
                <c:pt idx="5">
                  <c:v>4.5199999999999996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E-46A2-9C5B-0ADB7A4CF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031664"/>
        <c:axId val="187038384"/>
      </c:barChart>
      <c:catAx>
        <c:axId val="18703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038384"/>
        <c:crosses val="autoZero"/>
        <c:auto val="1"/>
        <c:lblAlgn val="ctr"/>
        <c:lblOffset val="100"/>
        <c:noMultiLvlLbl val="0"/>
      </c:catAx>
      <c:valAx>
        <c:axId val="18703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03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INFRAESTRUCTURA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C1'!$A$175:$A$181</c:f>
              <c:strCache>
                <c:ptCount val="7"/>
                <c:pt idx="0">
                  <c:v>La infraestructura física (carreteras, servicios públicos, comunicaciones, gestión de residuos) ofrece un buen apoyo a las empresas nuevas y en crecimiento.</c:v>
                </c:pt>
                <c:pt idx="1">
                  <c:v>No resulta demasiado costoso para una empresa nueva o en crecimiento acceder a buenos servicios de comunicación (teléfono, internet, etc.).</c:v>
                </c:pt>
                <c:pt idx="2">
                  <c:v>Una empresa nueva o en crecimiento puede obtener acceso a buenos servicios de comunicación (teléfono, internet, etc.) aproximadamente en una semana.</c:v>
                </c:pt>
                <c:pt idx="3">
                  <c:v>Las empresas nuevas y en crecimiento pueden asumir el coste de los servicios básicos (gas, agua, electricidad, alcantarillado).</c:v>
                </c:pt>
                <c:pt idx="4">
                  <c:v>Una empresa nueva o en crecimiento puede obtener acceso a servicios básicos (gas, agua, electricidad, alcantarillado) aproximadamente en un mes.</c:v>
                </c:pt>
                <c:pt idx="5">
                  <c:v>Existen suficientes espacios de oficina asequibles en alquiler para las empresas nuevas y en crecimiento.</c:v>
                </c:pt>
                <c:pt idx="6">
                  <c:v>Existen suficientes espacios de producción asequibles en alquiler para las empresas nuevas y en crecimiento.</c:v>
                </c:pt>
              </c:strCache>
            </c:strRef>
          </c:cat>
          <c:val>
            <c:numRef>
              <c:f>'NES 2025 C1'!$B$175:$B$181</c:f>
              <c:numCache>
                <c:formatCode>0.0</c:formatCode>
                <c:ptCount val="7"/>
                <c:pt idx="0">
                  <c:v>3.38</c:v>
                </c:pt>
                <c:pt idx="1">
                  <c:v>7.36</c:v>
                </c:pt>
                <c:pt idx="2">
                  <c:v>7.65</c:v>
                </c:pt>
                <c:pt idx="3">
                  <c:v>6.82</c:v>
                </c:pt>
                <c:pt idx="4">
                  <c:v>7.08</c:v>
                </c:pt>
                <c:pt idx="5">
                  <c:v>5.7</c:v>
                </c:pt>
                <c:pt idx="6">
                  <c:v>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A-43D2-9B2D-F4478D30B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911840"/>
        <c:axId val="170912320"/>
      </c:barChart>
      <c:catAx>
        <c:axId val="17091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912320"/>
        <c:crosses val="autoZero"/>
        <c:auto val="1"/>
        <c:lblAlgn val="ctr"/>
        <c:lblOffset val="100"/>
        <c:noMultiLvlLbl val="0"/>
      </c:catAx>
      <c:valAx>
        <c:axId val="17091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91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NORMAS CULTURALES Y SOCIALES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'NES 2025 C1'!$A$186:$A$190</c:f>
              <c:strCache>
                <c:ptCount val="5"/>
                <c:pt idx="0">
                  <c:v>La cultura nacional apoya firmemente el éxito individual logrado a través del esfuerzo personal.</c:v>
                </c:pt>
                <c:pt idx="1">
                  <c:v>La cultura nacional enfatiza la autosuficiencia, la autonomía y la iniciativa personal.</c:v>
                </c:pt>
                <c:pt idx="2">
                  <c:v>La cultura nacional fomenta la asunción de riesgos en el ámbito emprendedor.</c:v>
                </c:pt>
                <c:pt idx="3">
                  <c:v>La cultura nacional fomenta la creatividad y la innovación.</c:v>
                </c:pt>
                <c:pt idx="4">
                  <c:v>La cultura nacional enfatiza la responsabilidad del individuo (más que del colectivo) en la gestión de su propia vida.</c:v>
                </c:pt>
              </c:strCache>
            </c:strRef>
          </c:cat>
          <c:val>
            <c:numRef>
              <c:f>'NES 2025 C1'!$B$186:$B$190</c:f>
              <c:numCache>
                <c:formatCode>0.0</c:formatCode>
                <c:ptCount val="5"/>
                <c:pt idx="0">
                  <c:v>4.3899999999999997</c:v>
                </c:pt>
                <c:pt idx="1">
                  <c:v>3.92</c:v>
                </c:pt>
                <c:pt idx="2">
                  <c:v>3.07</c:v>
                </c:pt>
                <c:pt idx="3">
                  <c:v>3.74</c:v>
                </c:pt>
                <c:pt idx="4">
                  <c:v>4.07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E-47A2-B715-F09F7754F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940768"/>
        <c:axId val="133945088"/>
      </c:barChart>
      <c:catAx>
        <c:axId val="13394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945088"/>
        <c:crosses val="autoZero"/>
        <c:auto val="1"/>
        <c:lblAlgn val="ctr"/>
        <c:lblOffset val="100"/>
        <c:noMultiLvlLbl val="0"/>
      </c:catAx>
      <c:valAx>
        <c:axId val="13394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94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VARIABLES TEA24 PROVESP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'APS 2025 C2 - EXTREMADURA'!$N$29</c:f>
              <c:strCache>
                <c:ptCount val="1"/>
                <c:pt idx="0">
                  <c:v>Cáceres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EXTREMADURA'!$O$28:$AG$28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'APS 2025 C2 - EXTREMADURA'!$O$29:$AG$29</c:f>
              <c:numCache>
                <c:formatCode>0.0%</c:formatCode>
                <c:ptCount val="19"/>
                <c:pt idx="0">
                  <c:v>7.9000000000000001E-2</c:v>
                </c:pt>
                <c:pt idx="1">
                  <c:v>7.0999999999999994E-2</c:v>
                </c:pt>
                <c:pt idx="2">
                  <c:v>2.7E-2</c:v>
                </c:pt>
                <c:pt idx="3">
                  <c:v>2.9000000000000001E-2</c:v>
                </c:pt>
                <c:pt idx="4">
                  <c:v>8.5000000000000006E-2</c:v>
                </c:pt>
                <c:pt idx="5">
                  <c:v>5.8999999999999997E-2</c:v>
                </c:pt>
                <c:pt idx="6">
                  <c:v>5.1999999999999998E-2</c:v>
                </c:pt>
                <c:pt idx="7">
                  <c:v>7.5800000000000006E-2</c:v>
                </c:pt>
                <c:pt idx="8">
                  <c:v>0.04</c:v>
                </c:pt>
                <c:pt idx="9">
                  <c:v>6.2E-2</c:v>
                </c:pt>
                <c:pt idx="10">
                  <c:v>6.0999999999999999E-2</c:v>
                </c:pt>
                <c:pt idx="11">
                  <c:v>6.5000000000000002E-2</c:v>
                </c:pt>
                <c:pt idx="12">
                  <c:v>5.1999999999999998E-2</c:v>
                </c:pt>
                <c:pt idx="13">
                  <c:v>3.7999999999999999E-2</c:v>
                </c:pt>
                <c:pt idx="14">
                  <c:v>4.1000000000000002E-2</c:v>
                </c:pt>
                <c:pt idx="15">
                  <c:v>6.8000000000000005E-2</c:v>
                </c:pt>
                <c:pt idx="16">
                  <c:v>6.0999999999999999E-2</c:v>
                </c:pt>
                <c:pt idx="17">
                  <c:v>8.7999999999999995E-2</c:v>
                </c:pt>
                <c:pt idx="18">
                  <c:v>6.9000000000000006E-2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2-4D2B-A0E8-293DB464AC98}"/>
            </c:ext>
          </c:extLst>
        </c:ser>
        <c:ser>
          <c:idx val="1"/>
          <c:order val="1"/>
          <c:tx>
            <c:strRef>
              <c:f>'APS 2025 C2 - EXTREMADURA'!$N$30</c:f>
              <c:strCache>
                <c:ptCount val="1"/>
                <c:pt idx="0">
                  <c:v>Badajoz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EXTREMADURA'!$O$28:$AG$28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'APS 2025 C2 - EXTREMADURA'!$O$30:$AG$30</c:f>
              <c:numCache>
                <c:formatCode>0.0%</c:formatCode>
                <c:ptCount val="19"/>
                <c:pt idx="0">
                  <c:v>8.2000000000000003E-2</c:v>
                </c:pt>
                <c:pt idx="1">
                  <c:v>7.0999999999999994E-2</c:v>
                </c:pt>
                <c:pt idx="2">
                  <c:v>3.5000000000000003E-2</c:v>
                </c:pt>
                <c:pt idx="3">
                  <c:v>2.4E-2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6.0999999999999999E-2</c:v>
                </c:pt>
                <c:pt idx="7">
                  <c:v>7.3099999999999998E-2</c:v>
                </c:pt>
                <c:pt idx="8">
                  <c:v>5.0999999999999997E-2</c:v>
                </c:pt>
                <c:pt idx="9">
                  <c:v>4.8000000000000001E-2</c:v>
                </c:pt>
                <c:pt idx="10">
                  <c:v>6.6000000000000003E-2</c:v>
                </c:pt>
                <c:pt idx="11">
                  <c:v>0.04</c:v>
                </c:pt>
                <c:pt idx="12">
                  <c:v>4.7E-2</c:v>
                </c:pt>
                <c:pt idx="13">
                  <c:v>4.3999999999999997E-2</c:v>
                </c:pt>
                <c:pt idx="14">
                  <c:v>5.1999999999999998E-2</c:v>
                </c:pt>
                <c:pt idx="15">
                  <c:v>3.9E-2</c:v>
                </c:pt>
                <c:pt idx="16">
                  <c:v>4.8000000000000001E-2</c:v>
                </c:pt>
                <c:pt idx="17">
                  <c:v>3.9E-2</c:v>
                </c:pt>
                <c:pt idx="18">
                  <c:v>5.5999999999999994E-2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22-4D2B-A0E8-293DB464AC98}"/>
            </c:ext>
          </c:extLst>
        </c:ser>
        <c:ser>
          <c:idx val="2"/>
          <c:order val="2"/>
          <c:tx>
            <c:strRef>
              <c:f>'APS 2025 C2 - EXTREMADURA'!$N$31</c:f>
              <c:strCache>
                <c:ptCount val="1"/>
                <c:pt idx="0">
                  <c:v>Extremadura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EXTREMADURA'!$O$28:$AG$28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'APS 2025 C2 - EXTREMADURA'!$O$31:$AG$31</c:f>
              <c:numCache>
                <c:formatCode>0.0%</c:formatCode>
                <c:ptCount val="19"/>
                <c:pt idx="0">
                  <c:v>8.1199999999999994E-2</c:v>
                </c:pt>
                <c:pt idx="1">
                  <c:v>7.0999999999999994E-2</c:v>
                </c:pt>
                <c:pt idx="2">
                  <c:v>3.27E-2</c:v>
                </c:pt>
                <c:pt idx="3">
                  <c:v>2.5899999999999999E-2</c:v>
                </c:pt>
                <c:pt idx="4">
                  <c:v>6.0600000000000001E-2</c:v>
                </c:pt>
                <c:pt idx="5">
                  <c:v>5.0599999999999999E-2</c:v>
                </c:pt>
                <c:pt idx="6">
                  <c:v>5.7599999999999998E-2</c:v>
                </c:pt>
                <c:pt idx="7">
                  <c:v>7.3999999999999996E-2</c:v>
                </c:pt>
                <c:pt idx="8">
                  <c:v>4.7E-2</c:v>
                </c:pt>
                <c:pt idx="9">
                  <c:v>5.2999999999999999E-2</c:v>
                </c:pt>
                <c:pt idx="10">
                  <c:v>6.4000000000000001E-2</c:v>
                </c:pt>
                <c:pt idx="11">
                  <c:v>4.9000000000000002E-2</c:v>
                </c:pt>
                <c:pt idx="12">
                  <c:v>0.05</c:v>
                </c:pt>
                <c:pt idx="13">
                  <c:v>4.2000000000000003E-2</c:v>
                </c:pt>
                <c:pt idx="14">
                  <c:v>4.8000000000000001E-2</c:v>
                </c:pt>
                <c:pt idx="15">
                  <c:v>0.05</c:v>
                </c:pt>
                <c:pt idx="16">
                  <c:v>5.2999999999999999E-2</c:v>
                </c:pt>
                <c:pt idx="17">
                  <c:v>5.7000000000000002E-2</c:v>
                </c:pt>
                <c:pt idx="18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22-4D2B-A0E8-293DB464A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13760"/>
        <c:axId val="170914240"/>
      </c:lineChart>
      <c:catAx>
        <c:axId val="17091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914240"/>
        <c:crosses val="autoZero"/>
        <c:auto val="1"/>
        <c:lblAlgn val="ctr"/>
        <c:lblOffset val="100"/>
        <c:noMultiLvlLbl val="0"/>
      </c:catAx>
      <c:valAx>
        <c:axId val="1709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91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'APS 2025 C2 - EXTREMADURA'!$A$87</c:f>
              <c:strCache>
                <c:ptCount val="1"/>
                <c:pt idx="0">
                  <c:v>Media Europa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EXTREMADURA'!$B$86:$U$86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'APS 2025 C2 - EXTREMADURA'!$B$87:$U$87</c:f>
              <c:numCache>
                <c:formatCode>0.0%</c:formatCode>
                <c:ptCount val="20"/>
                <c:pt idx="0">
                  <c:v>6.0999999999999999E-2</c:v>
                </c:pt>
                <c:pt idx="1">
                  <c:v>5.6000000000000001E-2</c:v>
                </c:pt>
                <c:pt idx="2">
                  <c:v>6.7000000000000004E-2</c:v>
                </c:pt>
                <c:pt idx="3">
                  <c:v>6.0999999999999999E-2</c:v>
                </c:pt>
                <c:pt idx="4">
                  <c:v>5.8999999999999997E-2</c:v>
                </c:pt>
                <c:pt idx="5">
                  <c:v>6.6000000000000003E-2</c:v>
                </c:pt>
                <c:pt idx="6">
                  <c:v>7.4999999999999997E-2</c:v>
                </c:pt>
                <c:pt idx="7">
                  <c:v>8.1000000000000003E-2</c:v>
                </c:pt>
                <c:pt idx="8">
                  <c:v>7.8E-2</c:v>
                </c:pt>
                <c:pt idx="9">
                  <c:v>6.2E-2</c:v>
                </c:pt>
                <c:pt idx="10">
                  <c:v>8.6999999999999994E-2</c:v>
                </c:pt>
                <c:pt idx="11">
                  <c:v>6.7000000000000004E-2</c:v>
                </c:pt>
                <c:pt idx="12">
                  <c:v>7.9000000000000001E-2</c:v>
                </c:pt>
                <c:pt idx="13">
                  <c:v>9.6000000000000002E-2</c:v>
                </c:pt>
                <c:pt idx="14">
                  <c:v>8.09E-2</c:v>
                </c:pt>
                <c:pt idx="15">
                  <c:v>8.6999999999999994E-2</c:v>
                </c:pt>
                <c:pt idx="16">
                  <c:v>8.8999999999999996E-2</c:v>
                </c:pt>
                <c:pt idx="17">
                  <c:v>9.2999999999999999E-2</c:v>
                </c:pt>
                <c:pt idx="18">
                  <c:v>0.10580000000000001</c:v>
                </c:pt>
                <c:pt idx="19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F-4600-A5A1-14290CB9A1D0}"/>
            </c:ext>
          </c:extLst>
        </c:ser>
        <c:ser>
          <c:idx val="1"/>
          <c:order val="1"/>
          <c:tx>
            <c:strRef>
              <c:f>'APS 2025 C2 - EXTREMADURA'!$A$88</c:f>
              <c:strCache>
                <c:ptCount val="1"/>
                <c:pt idx="0">
                  <c:v>España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EXTREMADURA'!$B$86:$U$86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'APS 2025 C2 - EXTREMADURA'!$B$88:$U$88</c:f>
              <c:numCache>
                <c:formatCode>0.0%</c:formatCode>
                <c:ptCount val="20"/>
                <c:pt idx="0">
                  <c:v>7.2999999999999995E-2</c:v>
                </c:pt>
                <c:pt idx="1">
                  <c:v>7.5999999999999998E-2</c:v>
                </c:pt>
                <c:pt idx="2">
                  <c:v>7.0000000000000007E-2</c:v>
                </c:pt>
                <c:pt idx="3">
                  <c:v>5.0999999999999997E-2</c:v>
                </c:pt>
                <c:pt idx="4">
                  <c:v>4.2999999999999997E-2</c:v>
                </c:pt>
                <c:pt idx="5">
                  <c:v>5.8000000000000003E-2</c:v>
                </c:pt>
                <c:pt idx="6">
                  <c:v>5.7000000000000002E-2</c:v>
                </c:pt>
                <c:pt idx="7">
                  <c:v>5.1999999999999998E-2</c:v>
                </c:pt>
                <c:pt idx="8">
                  <c:v>5.5E-2</c:v>
                </c:pt>
                <c:pt idx="9">
                  <c:v>5.7000000000000002E-2</c:v>
                </c:pt>
                <c:pt idx="10">
                  <c:v>5.1999999999999998E-2</c:v>
                </c:pt>
                <c:pt idx="11">
                  <c:v>6.2E-2</c:v>
                </c:pt>
                <c:pt idx="12">
                  <c:v>6.4000000000000001E-2</c:v>
                </c:pt>
                <c:pt idx="13">
                  <c:v>6.0999999999999999E-2</c:v>
                </c:pt>
                <c:pt idx="14">
                  <c:v>5.1999999999999998E-2</c:v>
                </c:pt>
                <c:pt idx="15">
                  <c:v>5.5E-2</c:v>
                </c:pt>
                <c:pt idx="16">
                  <c:v>0.06</c:v>
                </c:pt>
                <c:pt idx="17">
                  <c:v>6.8000000000000005E-2</c:v>
                </c:pt>
                <c:pt idx="18">
                  <c:v>7.2000000000000008E-2</c:v>
                </c:pt>
                <c:pt idx="19">
                  <c:v>7.8E-2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4F-4600-A5A1-14290CB9A1D0}"/>
            </c:ext>
          </c:extLst>
        </c:ser>
        <c:ser>
          <c:idx val="2"/>
          <c:order val="2"/>
          <c:tx>
            <c:strRef>
              <c:f>'APS 2025 C2 - EXTREMADURA'!$A$89</c:f>
              <c:strCache>
                <c:ptCount val="1"/>
                <c:pt idx="0">
                  <c:v>Extremadura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EXTREMADURA'!$B$86:$U$86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'APS 2025 C2 - EXTREMADURA'!$B$89:$U$89</c:f>
              <c:numCache>
                <c:formatCode>0.0%</c:formatCode>
                <c:ptCount val="20"/>
                <c:pt idx="0">
                  <c:v>8.3000000000000004E-2</c:v>
                </c:pt>
                <c:pt idx="1">
                  <c:v>8.1000000000000003E-2</c:v>
                </c:pt>
                <c:pt idx="2">
                  <c:v>7.0999999999999994E-2</c:v>
                </c:pt>
                <c:pt idx="3">
                  <c:v>3.3000000000000002E-2</c:v>
                </c:pt>
                <c:pt idx="4">
                  <c:v>2.5999999999999999E-2</c:v>
                </c:pt>
                <c:pt idx="5">
                  <c:v>6.0999999999999999E-2</c:v>
                </c:pt>
                <c:pt idx="6">
                  <c:v>5.0999999999999997E-2</c:v>
                </c:pt>
                <c:pt idx="7">
                  <c:v>5.8000000000000003E-2</c:v>
                </c:pt>
                <c:pt idx="8">
                  <c:v>7.4099999999999999E-2</c:v>
                </c:pt>
                <c:pt idx="9">
                  <c:v>4.7E-2</c:v>
                </c:pt>
                <c:pt idx="10">
                  <c:v>5.2999999999999999E-2</c:v>
                </c:pt>
                <c:pt idx="11">
                  <c:v>6.4000000000000001E-2</c:v>
                </c:pt>
                <c:pt idx="12">
                  <c:v>4.9000000000000002E-2</c:v>
                </c:pt>
                <c:pt idx="13">
                  <c:v>4.9500000000000002E-2</c:v>
                </c:pt>
                <c:pt idx="14">
                  <c:v>4.2099999999999999E-2</c:v>
                </c:pt>
                <c:pt idx="15">
                  <c:v>4.8000000000000001E-2</c:v>
                </c:pt>
                <c:pt idx="16">
                  <c:v>0.05</c:v>
                </c:pt>
                <c:pt idx="17">
                  <c:v>5.2999999999999999E-2</c:v>
                </c:pt>
                <c:pt idx="18">
                  <c:v>5.7000000000000002E-2</c:v>
                </c:pt>
                <c:pt idx="19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4F-4600-A5A1-14290CB9A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09920"/>
        <c:axId val="113407664"/>
      </c:lineChart>
      <c:catAx>
        <c:axId val="17090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407664"/>
        <c:crosses val="autoZero"/>
        <c:auto val="1"/>
        <c:lblAlgn val="ctr"/>
        <c:lblOffset val="100"/>
        <c:noMultiLvlLbl val="0"/>
      </c:catAx>
      <c:valAx>
        <c:axId val="11340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090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'APS 2025 C2 - EXTREMADURA'!$C$93</c:f>
              <c:strCache>
                <c:ptCount val="1"/>
                <c:pt idx="0">
                  <c:v>Potenciales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EXTREMADURA'!$D$92:$V$92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'APS 2025 C2 - EXTREMADURA'!$D$93:$V$93</c:f>
              <c:numCache>
                <c:formatCode>0.0%</c:formatCode>
                <c:ptCount val="19"/>
                <c:pt idx="0">
                  <c:v>8.1600000000000006E-2</c:v>
                </c:pt>
                <c:pt idx="1">
                  <c:v>8.7999999999999995E-2</c:v>
                </c:pt>
                <c:pt idx="2">
                  <c:v>7.3300000000000004E-2</c:v>
                </c:pt>
                <c:pt idx="3">
                  <c:v>5.0299999999999997E-2</c:v>
                </c:pt>
                <c:pt idx="4">
                  <c:v>8.0699999999999994E-2</c:v>
                </c:pt>
                <c:pt idx="5">
                  <c:v>0.1111</c:v>
                </c:pt>
                <c:pt idx="6">
                  <c:v>0.104</c:v>
                </c:pt>
                <c:pt idx="7">
                  <c:v>9.6000000000000002E-2</c:v>
                </c:pt>
                <c:pt idx="8">
                  <c:v>6.8000000000000005E-2</c:v>
                </c:pt>
                <c:pt idx="9">
                  <c:v>6.6000000000000003E-2</c:v>
                </c:pt>
                <c:pt idx="10">
                  <c:v>7.5999999999999998E-2</c:v>
                </c:pt>
                <c:pt idx="11">
                  <c:v>8.6999999999999994E-2</c:v>
                </c:pt>
                <c:pt idx="12">
                  <c:v>7.0199999999999999E-2</c:v>
                </c:pt>
                <c:pt idx="13">
                  <c:v>7.5999999999999998E-2</c:v>
                </c:pt>
                <c:pt idx="14">
                  <c:v>8.2000000000000003E-2</c:v>
                </c:pt>
                <c:pt idx="15">
                  <c:v>7.5399999999999995E-2</c:v>
                </c:pt>
                <c:pt idx="16">
                  <c:v>7.6999999999999999E-2</c:v>
                </c:pt>
                <c:pt idx="17">
                  <c:v>8.6999999999999994E-2</c:v>
                </c:pt>
                <c:pt idx="18">
                  <c:v>9.9000000000000005E-2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1-43C2-BC8B-EF98BEACB7BF}"/>
            </c:ext>
          </c:extLst>
        </c:ser>
        <c:ser>
          <c:idx val="1"/>
          <c:order val="1"/>
          <c:tx>
            <c:strRef>
              <c:f>'APS 2025 C2 - EXTREMADURA'!$C$94</c:f>
              <c:strCache>
                <c:ptCount val="1"/>
                <c:pt idx="0">
                  <c:v>TEA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EXTREMADURA'!$D$92:$V$92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'APS 2025 C2 - EXTREMADURA'!$D$94:$V$94</c:f>
              <c:numCache>
                <c:formatCode>0.0%</c:formatCode>
                <c:ptCount val="19"/>
                <c:pt idx="0">
                  <c:v>8.1199999999999994E-2</c:v>
                </c:pt>
                <c:pt idx="1">
                  <c:v>7.0999999999999994E-2</c:v>
                </c:pt>
                <c:pt idx="2">
                  <c:v>3.27E-2</c:v>
                </c:pt>
                <c:pt idx="3">
                  <c:v>2.5899999999999999E-2</c:v>
                </c:pt>
                <c:pt idx="4">
                  <c:v>6.0600000000000001E-2</c:v>
                </c:pt>
                <c:pt idx="5">
                  <c:v>5.0599999999999999E-2</c:v>
                </c:pt>
                <c:pt idx="6">
                  <c:v>5.7599999999999998E-2</c:v>
                </c:pt>
                <c:pt idx="7">
                  <c:v>7.3999999999999996E-2</c:v>
                </c:pt>
                <c:pt idx="8">
                  <c:v>4.7E-2</c:v>
                </c:pt>
                <c:pt idx="9">
                  <c:v>5.2999999999999999E-2</c:v>
                </c:pt>
                <c:pt idx="10">
                  <c:v>6.4000000000000001E-2</c:v>
                </c:pt>
                <c:pt idx="11">
                  <c:v>4.9000000000000002E-2</c:v>
                </c:pt>
                <c:pt idx="12">
                  <c:v>0.05</c:v>
                </c:pt>
                <c:pt idx="13">
                  <c:v>4.2000000000000003E-2</c:v>
                </c:pt>
                <c:pt idx="14">
                  <c:v>4.8000000000000001E-2</c:v>
                </c:pt>
                <c:pt idx="15">
                  <c:v>0.05</c:v>
                </c:pt>
                <c:pt idx="16">
                  <c:v>5.2999999999999999E-2</c:v>
                </c:pt>
                <c:pt idx="17">
                  <c:v>5.7000000000000002E-2</c:v>
                </c:pt>
                <c:pt idx="18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41-43C2-BC8B-EF98BEACB7BF}"/>
            </c:ext>
          </c:extLst>
        </c:ser>
        <c:ser>
          <c:idx val="2"/>
          <c:order val="2"/>
          <c:tx>
            <c:strRef>
              <c:f>'APS 2025 C2 - EXTREMADURA'!$C$95</c:f>
              <c:strCache>
                <c:ptCount val="1"/>
                <c:pt idx="0">
                  <c:v>Establecidas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EXTREMADURA'!$D$92:$V$92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'APS 2025 C2 - EXTREMADURA'!$D$95:$V$95</c:f>
              <c:numCache>
                <c:formatCode>0.0%</c:formatCode>
                <c:ptCount val="19"/>
                <c:pt idx="0">
                  <c:v>6.4000000000000001E-2</c:v>
                </c:pt>
                <c:pt idx="1">
                  <c:v>0.1273</c:v>
                </c:pt>
                <c:pt idx="2">
                  <c:v>7.8E-2</c:v>
                </c:pt>
                <c:pt idx="3">
                  <c:v>0.115</c:v>
                </c:pt>
                <c:pt idx="4">
                  <c:v>0.12939999999999999</c:v>
                </c:pt>
                <c:pt idx="5">
                  <c:v>0.1018</c:v>
                </c:pt>
                <c:pt idx="6">
                  <c:v>0.12570000000000001</c:v>
                </c:pt>
                <c:pt idx="7">
                  <c:v>0.1215</c:v>
                </c:pt>
                <c:pt idx="8">
                  <c:v>0.11799999999999999</c:v>
                </c:pt>
                <c:pt idx="9">
                  <c:v>9.0999999999999998E-2</c:v>
                </c:pt>
                <c:pt idx="10">
                  <c:v>0.1076</c:v>
                </c:pt>
                <c:pt idx="11">
                  <c:v>0.108</c:v>
                </c:pt>
                <c:pt idx="12">
                  <c:v>0.1033</c:v>
                </c:pt>
                <c:pt idx="13">
                  <c:v>7.0999999999999994E-2</c:v>
                </c:pt>
                <c:pt idx="14">
                  <c:v>7.9000000000000001E-2</c:v>
                </c:pt>
                <c:pt idx="15">
                  <c:v>7.5399999999999995E-2</c:v>
                </c:pt>
                <c:pt idx="16">
                  <c:v>7.4999999999999997E-2</c:v>
                </c:pt>
                <c:pt idx="17">
                  <c:v>5.7000000000000002E-2</c:v>
                </c:pt>
                <c:pt idx="18">
                  <c:v>8.8000000000000009E-2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41-43C2-BC8B-EF98BEACB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554336"/>
        <c:axId val="2044541376"/>
      </c:lineChart>
      <c:catAx>
        <c:axId val="204455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41376"/>
        <c:crosses val="autoZero"/>
        <c:auto val="1"/>
        <c:lblAlgn val="ctr"/>
        <c:lblOffset val="100"/>
        <c:noMultiLvlLbl val="0"/>
      </c:catAx>
      <c:valAx>
        <c:axId val="20445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'APS 2025 C2 - EXTREMADURA'!$C$98</c:f>
              <c:strCache>
                <c:ptCount val="1"/>
                <c:pt idx="0">
                  <c:v>Nuevas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EXTREMADURA'!$D$97:$W$97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'APS 2025 C2 - EXTREMADURA'!$D$98:$W$98</c:f>
              <c:numCache>
                <c:formatCode>0.0%</c:formatCode>
                <c:ptCount val="20"/>
                <c:pt idx="0">
                  <c:v>5.2299999999999999E-2</c:v>
                </c:pt>
                <c:pt idx="1">
                  <c:v>3.9399999999999998E-2</c:v>
                </c:pt>
                <c:pt idx="2">
                  <c:v>4.7E-2</c:v>
                </c:pt>
                <c:pt idx="3">
                  <c:v>2.4199999999999999E-2</c:v>
                </c:pt>
                <c:pt idx="4">
                  <c:v>0.01</c:v>
                </c:pt>
                <c:pt idx="5">
                  <c:v>2.8000000000000001E-2</c:v>
                </c:pt>
                <c:pt idx="6">
                  <c:v>2.1100000000000001E-2</c:v>
                </c:pt>
                <c:pt idx="7">
                  <c:v>2.1100000000000001E-2</c:v>
                </c:pt>
                <c:pt idx="8">
                  <c:v>0.03</c:v>
                </c:pt>
                <c:pt idx="9">
                  <c:v>2.1000000000000001E-2</c:v>
                </c:pt>
                <c:pt idx="10">
                  <c:v>0.03</c:v>
                </c:pt>
                <c:pt idx="11">
                  <c:v>3.9E-2</c:v>
                </c:pt>
                <c:pt idx="12">
                  <c:v>2.5000000000000001E-2</c:v>
                </c:pt>
                <c:pt idx="13">
                  <c:v>2.7999999999999997E-2</c:v>
                </c:pt>
                <c:pt idx="14">
                  <c:v>2.4E-2</c:v>
                </c:pt>
                <c:pt idx="15">
                  <c:v>2.1999999999999999E-2</c:v>
                </c:pt>
                <c:pt idx="16">
                  <c:v>1.9E-2</c:v>
                </c:pt>
                <c:pt idx="17">
                  <c:v>1.7000000000000001E-2</c:v>
                </c:pt>
                <c:pt idx="18">
                  <c:v>3.5000000000000003E-2</c:v>
                </c:pt>
                <c:pt idx="19">
                  <c:v>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B-41CA-8770-7FF5C023D29C}"/>
            </c:ext>
          </c:extLst>
        </c:ser>
        <c:ser>
          <c:idx val="1"/>
          <c:order val="1"/>
          <c:tx>
            <c:strRef>
              <c:f>'APS 2025 C2 - EXTREMADURA'!$C$99</c:f>
              <c:strCache>
                <c:ptCount val="1"/>
                <c:pt idx="0">
                  <c:v>Nacientes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EXTREMADURA'!$D$97:$W$97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'APS 2025 C2 - EXTREMADURA'!$D$99:$W$99</c:f>
              <c:numCache>
                <c:formatCode>0.0%</c:formatCode>
                <c:ptCount val="20"/>
                <c:pt idx="0">
                  <c:v>3.2300000000000002E-2</c:v>
                </c:pt>
                <c:pt idx="1">
                  <c:v>4.3499999999999997E-2</c:v>
                </c:pt>
                <c:pt idx="2">
                  <c:v>2.4E-2</c:v>
                </c:pt>
                <c:pt idx="3">
                  <c:v>8.9999999999999993E-3</c:v>
                </c:pt>
                <c:pt idx="4">
                  <c:v>1.5900000000000001E-2</c:v>
                </c:pt>
                <c:pt idx="5">
                  <c:v>3.2599999999999997E-2</c:v>
                </c:pt>
                <c:pt idx="6">
                  <c:v>2.9499999999999998E-2</c:v>
                </c:pt>
                <c:pt idx="7">
                  <c:v>3.6499999999999998E-2</c:v>
                </c:pt>
                <c:pt idx="8">
                  <c:v>4.3999999999999997E-2</c:v>
                </c:pt>
                <c:pt idx="9">
                  <c:v>2.5999999999999999E-2</c:v>
                </c:pt>
                <c:pt idx="10">
                  <c:v>2.3E-2</c:v>
                </c:pt>
                <c:pt idx="11">
                  <c:v>2.5000000000000001E-2</c:v>
                </c:pt>
                <c:pt idx="12">
                  <c:v>2.4E-2</c:v>
                </c:pt>
                <c:pt idx="13">
                  <c:v>2.1000000000000001E-2</c:v>
                </c:pt>
                <c:pt idx="14">
                  <c:v>1.7999999999999999E-2</c:v>
                </c:pt>
                <c:pt idx="15">
                  <c:v>2.5999999999999999E-2</c:v>
                </c:pt>
                <c:pt idx="16">
                  <c:v>3.1E-2</c:v>
                </c:pt>
                <c:pt idx="17">
                  <c:v>3.5999999999999997E-2</c:v>
                </c:pt>
                <c:pt idx="18">
                  <c:v>2.1999999999999999E-2</c:v>
                </c:pt>
                <c:pt idx="19">
                  <c:v>2.8999999999999998E-2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B-41CA-8770-7FF5C023D29C}"/>
            </c:ext>
          </c:extLst>
        </c:ser>
        <c:ser>
          <c:idx val="2"/>
          <c:order val="2"/>
          <c:tx>
            <c:strRef>
              <c:f>'APS 2025 C2 - EXTREMADURA'!$C$100</c:f>
              <c:strCache>
                <c:ptCount val="1"/>
                <c:pt idx="0">
                  <c:v>TEA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EXTREMADURA'!$D$97:$W$97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'APS 2025 C2 - EXTREMADURA'!$D$100:$W$100</c:f>
              <c:numCache>
                <c:formatCode>0.0%</c:formatCode>
                <c:ptCount val="20"/>
                <c:pt idx="0">
                  <c:v>8.3299999999999999E-2</c:v>
                </c:pt>
                <c:pt idx="1">
                  <c:v>8.1199999999999994E-2</c:v>
                </c:pt>
                <c:pt idx="2">
                  <c:v>7.0999999999999994E-2</c:v>
                </c:pt>
                <c:pt idx="3">
                  <c:v>3.27E-2</c:v>
                </c:pt>
                <c:pt idx="4">
                  <c:v>2.5899999999999999E-2</c:v>
                </c:pt>
                <c:pt idx="5">
                  <c:v>6.0600000000000001E-2</c:v>
                </c:pt>
                <c:pt idx="6">
                  <c:v>5.0599999999999999E-2</c:v>
                </c:pt>
                <c:pt idx="7">
                  <c:v>5.7599999999999998E-2</c:v>
                </c:pt>
                <c:pt idx="8">
                  <c:v>7.3999999999999996E-2</c:v>
                </c:pt>
                <c:pt idx="9">
                  <c:v>4.7E-2</c:v>
                </c:pt>
                <c:pt idx="10">
                  <c:v>5.2999999999999999E-2</c:v>
                </c:pt>
                <c:pt idx="11">
                  <c:v>6.4000000000000001E-2</c:v>
                </c:pt>
                <c:pt idx="12">
                  <c:v>4.9000000000000002E-2</c:v>
                </c:pt>
                <c:pt idx="13">
                  <c:v>0.05</c:v>
                </c:pt>
                <c:pt idx="14">
                  <c:v>4.2000000000000003E-2</c:v>
                </c:pt>
                <c:pt idx="15">
                  <c:v>4.8000000000000001E-2</c:v>
                </c:pt>
                <c:pt idx="16">
                  <c:v>0.05</c:v>
                </c:pt>
                <c:pt idx="17">
                  <c:v>5.2999999999999999E-2</c:v>
                </c:pt>
                <c:pt idx="18">
                  <c:v>5.7000000000000002E-2</c:v>
                </c:pt>
                <c:pt idx="19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B-41CA-8770-7FF5C023D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402000"/>
        <c:axId val="2050402480"/>
      </c:lineChart>
      <c:catAx>
        <c:axId val="205040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0402480"/>
        <c:crosses val="autoZero"/>
        <c:auto val="1"/>
        <c:lblAlgn val="ctr"/>
        <c:lblOffset val="100"/>
        <c:noMultiLvlLbl val="0"/>
      </c:catAx>
      <c:valAx>
        <c:axId val="205040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040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'APS 2025 C2 - EXTREMADURA'!$C$104</c:f>
              <c:strCache>
                <c:ptCount val="1"/>
                <c:pt idx="0">
                  <c:v>Continúa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EXTREMADURA'!$D$103:$V$103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'APS 2025 C2 - EXTREMADURA'!$D$104:$V$104</c:f>
              <c:numCache>
                <c:formatCode>0.0%</c:formatCode>
                <c:ptCount val="19"/>
                <c:pt idx="0">
                  <c:v>5.0000000000000001E-3</c:v>
                </c:pt>
                <c:pt idx="1">
                  <c:v>3.0000000000000001E-3</c:v>
                </c:pt>
                <c:pt idx="2">
                  <c:v>2E-3</c:v>
                </c:pt>
                <c:pt idx="3">
                  <c:v>4.0000000000000001E-3</c:v>
                </c:pt>
                <c:pt idx="4">
                  <c:v>6.0000000000000001E-3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7.0000000000000001E-3</c:v>
                </c:pt>
                <c:pt idx="8">
                  <c:v>3.0000000000000001E-3</c:v>
                </c:pt>
                <c:pt idx="9">
                  <c:v>5.0000000000000001E-3</c:v>
                </c:pt>
                <c:pt idx="10">
                  <c:v>6.0000000000000001E-3</c:v>
                </c:pt>
                <c:pt idx="11">
                  <c:v>8.0000000000000002E-3</c:v>
                </c:pt>
                <c:pt idx="12">
                  <c:v>8.0000000000000002E-3</c:v>
                </c:pt>
                <c:pt idx="13">
                  <c:v>1E-3</c:v>
                </c:pt>
                <c:pt idx="14">
                  <c:v>7.0000000000000001E-3</c:v>
                </c:pt>
                <c:pt idx="15">
                  <c:v>5.0000000000000001E-3</c:v>
                </c:pt>
                <c:pt idx="16">
                  <c:v>8.0000000000000002E-3</c:v>
                </c:pt>
                <c:pt idx="17">
                  <c:v>4.0000000000000001E-3</c:v>
                </c:pt>
                <c:pt idx="18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3-40A1-924D-9889D1E58374}"/>
            </c:ext>
          </c:extLst>
        </c:ser>
        <c:ser>
          <c:idx val="1"/>
          <c:order val="1"/>
          <c:tx>
            <c:strRef>
              <c:f>'APS 2025 C2 - EXTREMADURA'!$C$105</c:f>
              <c:strCache>
                <c:ptCount val="1"/>
                <c:pt idx="0">
                  <c:v>Cierres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EXTREMADURA'!$D$103:$V$103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'APS 2025 C2 - EXTREMADURA'!$D$105:$V$105</c:f>
              <c:numCache>
                <c:formatCode>0.0%</c:formatCode>
                <c:ptCount val="19"/>
                <c:pt idx="0">
                  <c:v>5.0000000000000001E-3</c:v>
                </c:pt>
                <c:pt idx="1">
                  <c:v>7.0000000000000001E-3</c:v>
                </c:pt>
                <c:pt idx="2">
                  <c:v>1.0999999999999999E-2</c:v>
                </c:pt>
                <c:pt idx="3">
                  <c:v>7.0000000000000001E-3</c:v>
                </c:pt>
                <c:pt idx="4">
                  <c:v>1.2E-2</c:v>
                </c:pt>
                <c:pt idx="5">
                  <c:v>1.4E-2</c:v>
                </c:pt>
                <c:pt idx="6">
                  <c:v>1.7000000000000001E-2</c:v>
                </c:pt>
                <c:pt idx="7">
                  <c:v>0.02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1.2E-2</c:v>
                </c:pt>
                <c:pt idx="11">
                  <c:v>1.4999999999999999E-2</c:v>
                </c:pt>
                <c:pt idx="12">
                  <c:v>1.0999999999999999E-2</c:v>
                </c:pt>
                <c:pt idx="13">
                  <c:v>1.2999999999999999E-2</c:v>
                </c:pt>
                <c:pt idx="14">
                  <c:v>1.2E-2</c:v>
                </c:pt>
                <c:pt idx="15">
                  <c:v>8.0000000000000002E-3</c:v>
                </c:pt>
                <c:pt idx="16">
                  <c:v>1.7000000000000001E-2</c:v>
                </c:pt>
                <c:pt idx="17">
                  <c:v>1.7999999999999999E-2</c:v>
                </c:pt>
                <c:pt idx="18" formatCode="0%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3-40A1-924D-9889D1E58374}"/>
            </c:ext>
          </c:extLst>
        </c:ser>
        <c:ser>
          <c:idx val="2"/>
          <c:order val="2"/>
          <c:tx>
            <c:strRef>
              <c:f>'APS 2025 C2 - EXTREMADURA'!$C$106</c:f>
              <c:strCache>
                <c:ptCount val="1"/>
                <c:pt idx="0">
                  <c:v>Abandono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EXTREMADURA'!$D$103:$V$103</c:f>
              <c:numCache>
                <c:formatCode>General</c:formatCode>
                <c:ptCount val="1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'APS 2025 C2 - EXTREMADURA'!$D$106:$V$106</c:f>
              <c:numCache>
                <c:formatCode>0.0%</c:formatCode>
                <c:ptCount val="19"/>
                <c:pt idx="0">
                  <c:v>0.01</c:v>
                </c:pt>
                <c:pt idx="1">
                  <c:v>0.01</c:v>
                </c:pt>
                <c:pt idx="2">
                  <c:v>1.2999999999999999E-2</c:v>
                </c:pt>
                <c:pt idx="3">
                  <c:v>0.01</c:v>
                </c:pt>
                <c:pt idx="4">
                  <c:v>1.7999999999999999E-2</c:v>
                </c:pt>
                <c:pt idx="5">
                  <c:v>1.7999999999999999E-2</c:v>
                </c:pt>
                <c:pt idx="6">
                  <c:v>2.1000000000000001E-2</c:v>
                </c:pt>
                <c:pt idx="7">
                  <c:v>2.7E-2</c:v>
                </c:pt>
                <c:pt idx="8">
                  <c:v>1.0999999999999999E-2</c:v>
                </c:pt>
                <c:pt idx="9">
                  <c:v>1.4E-2</c:v>
                </c:pt>
                <c:pt idx="10">
                  <c:v>1.7999999999999999E-2</c:v>
                </c:pt>
                <c:pt idx="11">
                  <c:v>2.3E-2</c:v>
                </c:pt>
                <c:pt idx="12">
                  <c:v>1.9E-2</c:v>
                </c:pt>
                <c:pt idx="13">
                  <c:v>1.4E-2</c:v>
                </c:pt>
                <c:pt idx="14">
                  <c:v>1.9E-2</c:v>
                </c:pt>
                <c:pt idx="15">
                  <c:v>1.2999999999999999E-2</c:v>
                </c:pt>
                <c:pt idx="16">
                  <c:v>2.5000000000000001E-2</c:v>
                </c:pt>
                <c:pt idx="17">
                  <c:v>2.1999999999999999E-2</c:v>
                </c:pt>
                <c:pt idx="18">
                  <c:v>2.6000000000000002E-2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C3-40A1-924D-9889D1E58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16448"/>
        <c:axId val="110715008"/>
      </c:lineChart>
      <c:catAx>
        <c:axId val="11071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715008"/>
        <c:crosses val="autoZero"/>
        <c:auto val="1"/>
        <c:lblAlgn val="ctr"/>
        <c:lblOffset val="100"/>
        <c:noMultiLvlLbl val="0"/>
      </c:catAx>
      <c:valAx>
        <c:axId val="11071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71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'APS 2025 C2 - EXTREMADURA'!$C$109</c:f>
              <c:strCache>
                <c:ptCount val="1"/>
                <c:pt idx="0">
                  <c:v>TEA 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EXTREMADURA'!$D$108:$U$108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'APS 2025 C2 - EXTREMADURA'!$D$109:$U$109</c:f>
              <c:numCache>
                <c:formatCode>0.0%</c:formatCode>
                <c:ptCount val="18"/>
                <c:pt idx="0">
                  <c:v>8.2199999999999995E-2</c:v>
                </c:pt>
                <c:pt idx="1">
                  <c:v>3.0200000000000001E-2</c:v>
                </c:pt>
                <c:pt idx="2">
                  <c:v>3.1399999999999997E-2</c:v>
                </c:pt>
                <c:pt idx="3">
                  <c:v>5.9799999999999999E-2</c:v>
                </c:pt>
                <c:pt idx="4">
                  <c:v>7.0000000000000007E-2</c:v>
                </c:pt>
                <c:pt idx="5">
                  <c:v>6.8000000000000005E-2</c:v>
                </c:pt>
                <c:pt idx="6">
                  <c:v>9.1999999999999998E-2</c:v>
                </c:pt>
                <c:pt idx="7">
                  <c:v>4.2000000000000003E-2</c:v>
                </c:pt>
                <c:pt idx="8">
                  <c:v>5.0999999999999997E-2</c:v>
                </c:pt>
                <c:pt idx="9">
                  <c:v>8.3599999999999994E-2</c:v>
                </c:pt>
                <c:pt idx="10">
                  <c:v>4.2999999999999997E-2</c:v>
                </c:pt>
                <c:pt idx="11">
                  <c:v>5.5E-2</c:v>
                </c:pt>
                <c:pt idx="12">
                  <c:v>5.8999999999999997E-2</c:v>
                </c:pt>
                <c:pt idx="13">
                  <c:v>0.05</c:v>
                </c:pt>
                <c:pt idx="14">
                  <c:v>4.4999999999999998E-2</c:v>
                </c:pt>
                <c:pt idx="15">
                  <c:v>7.17E-2</c:v>
                </c:pt>
                <c:pt idx="16">
                  <c:v>4.9000000000000002E-2</c:v>
                </c:pt>
                <c:pt idx="17">
                  <c:v>6.5000000000000002E-2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9-4A9C-868F-299DCB99BB93}"/>
            </c:ext>
          </c:extLst>
        </c:ser>
        <c:ser>
          <c:idx val="1"/>
          <c:order val="1"/>
          <c:tx>
            <c:strRef>
              <c:f>'APS 2025 C2 - EXTREMADURA'!$C$110</c:f>
              <c:strCache>
                <c:ptCount val="1"/>
                <c:pt idx="0">
                  <c:v>TEA mujer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EXTREMADURA'!$D$108:$U$108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'APS 2025 C2 - EXTREMADURA'!$D$110:$U$110</c:f>
              <c:numCache>
                <c:formatCode>0.0%</c:formatCode>
                <c:ptCount val="18"/>
                <c:pt idx="0">
                  <c:v>5.9700000000000003E-2</c:v>
                </c:pt>
                <c:pt idx="1">
                  <c:v>3.5400000000000001E-2</c:v>
                </c:pt>
                <c:pt idx="2">
                  <c:v>2.06E-2</c:v>
                </c:pt>
                <c:pt idx="3">
                  <c:v>6.1499999999999999E-2</c:v>
                </c:pt>
                <c:pt idx="4">
                  <c:v>3.1E-2</c:v>
                </c:pt>
                <c:pt idx="5">
                  <c:v>4.5999999999999999E-2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4.3700000000000003E-2</c:v>
                </c:pt>
                <c:pt idx="10">
                  <c:v>5.7000000000000002E-2</c:v>
                </c:pt>
                <c:pt idx="11">
                  <c:v>4.2999999999999997E-2</c:v>
                </c:pt>
                <c:pt idx="12">
                  <c:v>2.4E-2</c:v>
                </c:pt>
                <c:pt idx="13">
                  <c:v>4.5999999999999999E-2</c:v>
                </c:pt>
                <c:pt idx="14">
                  <c:v>5.5E-2</c:v>
                </c:pt>
                <c:pt idx="15">
                  <c:v>3.2899999999999999E-2</c:v>
                </c:pt>
                <c:pt idx="16">
                  <c:v>6.5000000000000002E-2</c:v>
                </c:pt>
                <c:pt idx="17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9-4A9C-868F-299DCB99B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45104"/>
        <c:axId val="158341744"/>
      </c:lineChart>
      <c:catAx>
        <c:axId val="15834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341744"/>
        <c:crosses val="autoZero"/>
        <c:auto val="1"/>
        <c:lblAlgn val="ctr"/>
        <c:lblOffset val="100"/>
        <c:noMultiLvlLbl val="0"/>
      </c:catAx>
      <c:valAx>
        <c:axId val="1583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345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'APS 2025 C2 - EXTREMADURA'!$A$113</c:f>
              <c:strCache>
                <c:ptCount val="1"/>
                <c:pt idx="0">
                  <c:v>Rural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EXTREMADURA'!$B$112:$U$112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'APS 2025 C2 - EXTREMADURA'!$B$113:$U$113</c:f>
              <c:numCache>
                <c:formatCode>0.0%</c:formatCode>
                <c:ptCount val="20"/>
                <c:pt idx="0">
                  <c:v>0.121</c:v>
                </c:pt>
                <c:pt idx="1">
                  <c:v>0.104</c:v>
                </c:pt>
                <c:pt idx="2">
                  <c:v>7.4999999999999997E-2</c:v>
                </c:pt>
                <c:pt idx="3">
                  <c:v>3.3000000000000002E-2</c:v>
                </c:pt>
                <c:pt idx="4">
                  <c:v>2.8000000000000001E-2</c:v>
                </c:pt>
                <c:pt idx="5">
                  <c:v>6.0999999999999999E-2</c:v>
                </c:pt>
                <c:pt idx="6">
                  <c:v>5.3999999999999999E-2</c:v>
                </c:pt>
                <c:pt idx="7">
                  <c:v>5.6000000000000001E-2</c:v>
                </c:pt>
                <c:pt idx="8">
                  <c:v>9.06E-2</c:v>
                </c:pt>
                <c:pt idx="9">
                  <c:v>5.8000000000000003E-2</c:v>
                </c:pt>
                <c:pt idx="10">
                  <c:v>4.9000000000000002E-2</c:v>
                </c:pt>
                <c:pt idx="11">
                  <c:v>8.6999999999999994E-2</c:v>
                </c:pt>
                <c:pt idx="12">
                  <c:v>6.3E-2</c:v>
                </c:pt>
                <c:pt idx="13">
                  <c:v>6.4000000000000001E-2</c:v>
                </c:pt>
                <c:pt idx="14">
                  <c:v>5.6000000000000001E-2</c:v>
                </c:pt>
                <c:pt idx="15">
                  <c:v>4.3999999999999997E-2</c:v>
                </c:pt>
                <c:pt idx="16">
                  <c:v>4.7E-2</c:v>
                </c:pt>
                <c:pt idx="17">
                  <c:v>4.4999999999999998E-2</c:v>
                </c:pt>
                <c:pt idx="18">
                  <c:v>3.5000000000000003E-2</c:v>
                </c:pt>
                <c:pt idx="19">
                  <c:v>7.400000000000001E-2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F-45A1-B535-FFF7737DEC6C}"/>
            </c:ext>
          </c:extLst>
        </c:ser>
        <c:ser>
          <c:idx val="1"/>
          <c:order val="1"/>
          <c:tx>
            <c:strRef>
              <c:f>'APS 2025 C2 - EXTREMADURA'!$A$114</c:f>
              <c:strCache>
                <c:ptCount val="1"/>
                <c:pt idx="0">
                  <c:v>Urbana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EXTREMADURA'!$B$112:$U$112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'APS 2025 C2 - EXTREMADURA'!$B$114:$U$114</c:f>
              <c:numCache>
                <c:formatCode>0.0%</c:formatCode>
                <c:ptCount val="20"/>
                <c:pt idx="0">
                  <c:v>6.2E-2</c:v>
                </c:pt>
                <c:pt idx="1">
                  <c:v>6.9000000000000006E-2</c:v>
                </c:pt>
                <c:pt idx="2">
                  <c:v>6.9000000000000006E-2</c:v>
                </c:pt>
                <c:pt idx="3">
                  <c:v>3.1E-2</c:v>
                </c:pt>
                <c:pt idx="4">
                  <c:v>2.5000000000000001E-2</c:v>
                </c:pt>
                <c:pt idx="5">
                  <c:v>5.8999999999999997E-2</c:v>
                </c:pt>
                <c:pt idx="6">
                  <c:v>4.9000000000000002E-2</c:v>
                </c:pt>
                <c:pt idx="7">
                  <c:v>5.8000000000000003E-2</c:v>
                </c:pt>
                <c:pt idx="8">
                  <c:v>6.5000000000000002E-2</c:v>
                </c:pt>
                <c:pt idx="9">
                  <c:v>4.1000000000000002E-2</c:v>
                </c:pt>
                <c:pt idx="10">
                  <c:v>5.5E-2</c:v>
                </c:pt>
                <c:pt idx="11">
                  <c:v>5.0999999999999997E-2</c:v>
                </c:pt>
                <c:pt idx="12">
                  <c:v>4.1000000000000002E-2</c:v>
                </c:pt>
                <c:pt idx="13">
                  <c:v>4.2000000000000003E-2</c:v>
                </c:pt>
                <c:pt idx="14">
                  <c:v>3.4000000000000002E-2</c:v>
                </c:pt>
                <c:pt idx="15">
                  <c:v>0.05</c:v>
                </c:pt>
                <c:pt idx="16">
                  <c:v>5.0999999999999997E-2</c:v>
                </c:pt>
                <c:pt idx="17">
                  <c:v>5.7000000000000002E-2</c:v>
                </c:pt>
                <c:pt idx="18">
                  <c:v>6.7000000000000004E-2</c:v>
                </c:pt>
                <c:pt idx="19">
                  <c:v>5.4000000000000006E-2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9F-45A1-B535-FFF7737DEC6C}"/>
            </c:ext>
          </c:extLst>
        </c:ser>
        <c:ser>
          <c:idx val="2"/>
          <c:order val="2"/>
          <c:tx>
            <c:strRef>
              <c:f>'APS 2025 C2 - EXTREMADURA'!$A$115</c:f>
              <c:strCache>
                <c:ptCount val="1"/>
                <c:pt idx="0">
                  <c:v>Extremadura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'APS 2025 C2 - EXTREMADURA'!$B$112:$U$112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'APS 2025 C2 - EXTREMADURA'!$B$115:$U$115</c:f>
              <c:numCache>
                <c:formatCode>0.0%</c:formatCode>
                <c:ptCount val="20"/>
                <c:pt idx="0">
                  <c:v>8.3299999999999999E-2</c:v>
                </c:pt>
                <c:pt idx="1">
                  <c:v>8.1199999999999994E-2</c:v>
                </c:pt>
                <c:pt idx="2">
                  <c:v>7.0999999999999994E-2</c:v>
                </c:pt>
                <c:pt idx="3">
                  <c:v>3.27E-2</c:v>
                </c:pt>
                <c:pt idx="4">
                  <c:v>2.5899999999999999E-2</c:v>
                </c:pt>
                <c:pt idx="5">
                  <c:v>6.0600000000000001E-2</c:v>
                </c:pt>
                <c:pt idx="6">
                  <c:v>5.0599999999999999E-2</c:v>
                </c:pt>
                <c:pt idx="7">
                  <c:v>5.7599999999999998E-2</c:v>
                </c:pt>
                <c:pt idx="8">
                  <c:v>7.3999999999999996E-2</c:v>
                </c:pt>
                <c:pt idx="9">
                  <c:v>4.7E-2</c:v>
                </c:pt>
                <c:pt idx="10">
                  <c:v>5.2999999999999999E-2</c:v>
                </c:pt>
                <c:pt idx="11">
                  <c:v>6.4000000000000001E-2</c:v>
                </c:pt>
                <c:pt idx="12">
                  <c:v>4.9000000000000002E-2</c:v>
                </c:pt>
                <c:pt idx="13">
                  <c:v>0.05</c:v>
                </c:pt>
                <c:pt idx="14">
                  <c:v>4.2000000000000003E-2</c:v>
                </c:pt>
                <c:pt idx="15">
                  <c:v>4.8000000000000001E-2</c:v>
                </c:pt>
                <c:pt idx="16">
                  <c:v>0.05</c:v>
                </c:pt>
                <c:pt idx="17">
                  <c:v>5.2999999999999999E-2</c:v>
                </c:pt>
                <c:pt idx="18">
                  <c:v>5.7000000000000002E-2</c:v>
                </c:pt>
                <c:pt idx="19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9F-45A1-B535-FFF7737DE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580144"/>
        <c:axId val="2105580624"/>
      </c:lineChart>
      <c:catAx>
        <c:axId val="210558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05580624"/>
        <c:crosses val="autoZero"/>
        <c:auto val="1"/>
        <c:lblAlgn val="ctr"/>
        <c:lblOffset val="100"/>
        <c:noMultiLvlLbl val="0"/>
      </c:catAx>
      <c:valAx>
        <c:axId val="210558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0558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effectLst/>
              </a:rPr>
              <a:t>Motivación </a:t>
            </a:r>
            <a:r>
              <a:rPr lang="es-ES" sz="1400" b="0" i="0" u="none" strike="noStrike" baseline="0">
                <a:effectLst/>
              </a:rPr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C3'!$A$5</c:f>
              <c:strCache>
                <c:ptCount val="1"/>
                <c:pt idx="0">
                  <c:v>Para hacer una diferencia en el mundo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C3'!$B$4:$E$4</c:f>
              <c:strCache>
                <c:ptCount val="4"/>
                <c:pt idx="0">
                  <c:v>TEA</c:v>
                </c:pt>
                <c:pt idx="1">
                  <c:v>Nuevas</c:v>
                </c:pt>
                <c:pt idx="2">
                  <c:v>Nacientes</c:v>
                </c:pt>
                <c:pt idx="3">
                  <c:v>Establecidas</c:v>
                </c:pt>
              </c:strCache>
            </c:strRef>
          </c:cat>
          <c:val>
            <c:numRef>
              <c:f>'APS 2025 C3'!$B$5:$E$5</c:f>
              <c:numCache>
                <c:formatCode>0.0%</c:formatCode>
                <c:ptCount val="4"/>
                <c:pt idx="0">
                  <c:v>0.441</c:v>
                </c:pt>
                <c:pt idx="1">
                  <c:v>0.33400000000000002</c:v>
                </c:pt>
                <c:pt idx="2">
                  <c:v>0.54400000000000004</c:v>
                </c:pt>
                <c:pt idx="3">
                  <c:v>0.373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1-4FF1-ABAB-C95F4A349762}"/>
            </c:ext>
          </c:extLst>
        </c:ser>
        <c:ser>
          <c:idx val="1"/>
          <c:order val="1"/>
          <c:tx>
            <c:strRef>
              <c:f>'APS 2025 C3'!$A$6</c:f>
              <c:strCache>
                <c:ptCount val="1"/>
                <c:pt idx="0">
                  <c:v>Para ganar más dinero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C3'!$B$4:$E$4</c:f>
              <c:strCache>
                <c:ptCount val="4"/>
                <c:pt idx="0">
                  <c:v>TEA</c:v>
                </c:pt>
                <c:pt idx="1">
                  <c:v>Nuevas</c:v>
                </c:pt>
                <c:pt idx="2">
                  <c:v>Nacientes</c:v>
                </c:pt>
                <c:pt idx="3">
                  <c:v>Establecidas</c:v>
                </c:pt>
              </c:strCache>
            </c:strRef>
          </c:cat>
          <c:val>
            <c:numRef>
              <c:f>'APS 2025 C3'!$B$6:$E$6</c:f>
              <c:numCache>
                <c:formatCode>0.0%</c:formatCode>
                <c:ptCount val="4"/>
                <c:pt idx="0">
                  <c:v>0.45400000000000001</c:v>
                </c:pt>
                <c:pt idx="1">
                  <c:v>0.36399999999999999</c:v>
                </c:pt>
                <c:pt idx="2">
                  <c:v>0.54300000000000004</c:v>
                </c:pt>
                <c:pt idx="3">
                  <c:v>0.38500000000000001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1-4FF1-ABAB-C95F4A349762}"/>
            </c:ext>
          </c:extLst>
        </c:ser>
        <c:ser>
          <c:idx val="2"/>
          <c:order val="2"/>
          <c:tx>
            <c:strRef>
              <c:f>'APS 2025 C3'!$A$7</c:f>
              <c:strCache>
                <c:ptCount val="1"/>
                <c:pt idx="0">
                  <c:v>Para continuar con una tradición familiar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C3'!$B$4:$E$4</c:f>
              <c:strCache>
                <c:ptCount val="4"/>
                <c:pt idx="0">
                  <c:v>TEA</c:v>
                </c:pt>
                <c:pt idx="1">
                  <c:v>Nuevas</c:v>
                </c:pt>
                <c:pt idx="2">
                  <c:v>Nacientes</c:v>
                </c:pt>
                <c:pt idx="3">
                  <c:v>Establecidas</c:v>
                </c:pt>
              </c:strCache>
            </c:strRef>
          </c:cat>
          <c:val>
            <c:numRef>
              <c:f>'APS 2025 C3'!$B$7:$E$7</c:f>
              <c:numCache>
                <c:formatCode>0.0%</c:formatCode>
                <c:ptCount val="4"/>
                <c:pt idx="0">
                  <c:v>0.30199999999999999</c:v>
                </c:pt>
                <c:pt idx="1">
                  <c:v>0.35799999999999998</c:v>
                </c:pt>
                <c:pt idx="2">
                  <c:v>0.248</c:v>
                </c:pt>
                <c:pt idx="3">
                  <c:v>0.34599999999999997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1-4FF1-ABAB-C95F4A349762}"/>
            </c:ext>
          </c:extLst>
        </c:ser>
        <c:ser>
          <c:idx val="3"/>
          <c:order val="3"/>
          <c:tx>
            <c:strRef>
              <c:f>'APS 2025 C3'!$A$8</c:f>
              <c:strCache>
                <c:ptCount val="1"/>
                <c:pt idx="0">
                  <c:v>Para tener un salario porque no hay trabajo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'APS 2025 C3'!$B$4:$E$4</c:f>
              <c:strCache>
                <c:ptCount val="4"/>
                <c:pt idx="0">
                  <c:v>TEA</c:v>
                </c:pt>
                <c:pt idx="1">
                  <c:v>Nuevas</c:v>
                </c:pt>
                <c:pt idx="2">
                  <c:v>Nacientes</c:v>
                </c:pt>
                <c:pt idx="3">
                  <c:v>Establecidas</c:v>
                </c:pt>
              </c:strCache>
            </c:strRef>
          </c:cat>
          <c:val>
            <c:numRef>
              <c:f>'APS 2025 C3'!$B$8:$E$8</c:f>
              <c:numCache>
                <c:formatCode>0.0%</c:formatCode>
                <c:ptCount val="4"/>
                <c:pt idx="0">
                  <c:v>0.71299999999999997</c:v>
                </c:pt>
                <c:pt idx="1">
                  <c:v>0.624</c:v>
                </c:pt>
                <c:pt idx="2">
                  <c:v>0.79800000000000004</c:v>
                </c:pt>
                <c:pt idx="3">
                  <c:v>0.76100000000000001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F1-4FF1-ABAB-C95F4A34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42688"/>
        <c:axId val="15900064"/>
      </c:barChart>
      <c:catAx>
        <c:axId val="13394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00064"/>
        <c:crosses val="autoZero"/>
        <c:auto val="1"/>
        <c:lblAlgn val="ctr"/>
        <c:lblOffset val="100"/>
        <c:noMultiLvlLbl val="0"/>
      </c:catAx>
      <c:valAx>
        <c:axId val="1590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94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effectLst/>
              </a:rPr>
              <a:t>Motivación  GÉNERO</a:t>
            </a:r>
            <a:r>
              <a:rPr lang="es-ES" sz="1400" b="0" i="0" u="none" strike="noStrike" baseline="0">
                <a:effectLst/>
              </a:rPr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C3'!$B$11:$B$12</c:f>
              <c:strCache>
                <c:ptCount val="2"/>
                <c:pt idx="0">
                  <c:v>TEA</c:v>
                </c:pt>
                <c:pt idx="1">
                  <c:v>HOMBRE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C3'!$A$13:$A$16</c:f>
              <c:strCache>
                <c:ptCount val="4"/>
                <c:pt idx="0">
                  <c:v>Para hacer una diferencia en el mundo</c:v>
                </c:pt>
                <c:pt idx="1">
                  <c:v>Para ganar más dinero </c:v>
                </c:pt>
                <c:pt idx="2">
                  <c:v>Para continuar con una tradición familiar</c:v>
                </c:pt>
                <c:pt idx="3">
                  <c:v>Para tener un salario porque no hay trabajo</c:v>
                </c:pt>
              </c:strCache>
            </c:strRef>
          </c:cat>
          <c:val>
            <c:numRef>
              <c:f>'APS 2025 C3'!$B$13:$B$16</c:f>
              <c:numCache>
                <c:formatCode>0.0%</c:formatCode>
                <c:ptCount val="4"/>
                <c:pt idx="0">
                  <c:v>0.48099999999999998</c:v>
                </c:pt>
                <c:pt idx="1">
                  <c:v>0.51100000000000001</c:v>
                </c:pt>
                <c:pt idx="2">
                  <c:v>0.30399999999999999</c:v>
                </c:pt>
                <c:pt idx="3">
                  <c:v>0.70399999999999996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4-4FFB-A0EC-DB98C85451BF}"/>
            </c:ext>
          </c:extLst>
        </c:ser>
        <c:ser>
          <c:idx val="1"/>
          <c:order val="1"/>
          <c:tx>
            <c:strRef>
              <c:f>'APS 2025 C3'!$C$11:$C$12</c:f>
              <c:strCache>
                <c:ptCount val="2"/>
                <c:pt idx="0">
                  <c:v>TEA</c:v>
                </c:pt>
                <c:pt idx="1">
                  <c:v>MUJER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C3'!$A$13:$A$16</c:f>
              <c:strCache>
                <c:ptCount val="4"/>
                <c:pt idx="0">
                  <c:v>Para hacer una diferencia en el mundo</c:v>
                </c:pt>
                <c:pt idx="1">
                  <c:v>Para ganar más dinero </c:v>
                </c:pt>
                <c:pt idx="2">
                  <c:v>Para continuar con una tradición familiar</c:v>
                </c:pt>
                <c:pt idx="3">
                  <c:v>Para tener un salario porque no hay trabajo</c:v>
                </c:pt>
              </c:strCache>
            </c:strRef>
          </c:cat>
          <c:val>
            <c:numRef>
              <c:f>'APS 2025 C3'!$C$13:$C$16</c:f>
              <c:numCache>
                <c:formatCode>0.0%</c:formatCode>
                <c:ptCount val="4"/>
                <c:pt idx="0">
                  <c:v>0.39200000000000002</c:v>
                </c:pt>
                <c:pt idx="1">
                  <c:v>0.38600000000000001</c:v>
                </c:pt>
                <c:pt idx="2">
                  <c:v>0.30099999999999999</c:v>
                </c:pt>
                <c:pt idx="3">
                  <c:v>0.72399999999999998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4-4FFB-A0EC-DB98C85451BF}"/>
            </c:ext>
          </c:extLst>
        </c:ser>
        <c:ser>
          <c:idx val="2"/>
          <c:order val="2"/>
          <c:tx>
            <c:strRef>
              <c:f>'APS 2025 C3'!$D$11:$D$12</c:f>
              <c:strCache>
                <c:ptCount val="2"/>
                <c:pt idx="0">
                  <c:v>ESTABLECIDAS</c:v>
                </c:pt>
                <c:pt idx="1">
                  <c:v>HOMBRE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C3'!$A$13:$A$16</c:f>
              <c:strCache>
                <c:ptCount val="4"/>
                <c:pt idx="0">
                  <c:v>Para hacer una diferencia en el mundo</c:v>
                </c:pt>
                <c:pt idx="1">
                  <c:v>Para ganar más dinero </c:v>
                </c:pt>
                <c:pt idx="2">
                  <c:v>Para continuar con una tradición familiar</c:v>
                </c:pt>
                <c:pt idx="3">
                  <c:v>Para tener un salario porque no hay trabajo</c:v>
                </c:pt>
              </c:strCache>
            </c:strRef>
          </c:cat>
          <c:val>
            <c:numRef>
              <c:f>'APS 2025 C3'!$D$13:$D$16</c:f>
              <c:numCache>
                <c:formatCode>0.0%</c:formatCode>
                <c:ptCount val="4"/>
                <c:pt idx="0">
                  <c:v>0.41199999999999998</c:v>
                </c:pt>
                <c:pt idx="1">
                  <c:v>0.44800000000000001</c:v>
                </c:pt>
                <c:pt idx="2">
                  <c:v>0.44700000000000001</c:v>
                </c:pt>
                <c:pt idx="3">
                  <c:v>0.77200000000000002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4-4FFB-A0EC-DB98C85451BF}"/>
            </c:ext>
          </c:extLst>
        </c:ser>
        <c:ser>
          <c:idx val="3"/>
          <c:order val="3"/>
          <c:tx>
            <c:strRef>
              <c:f>'APS 2025 C3'!$E$11:$E$12</c:f>
              <c:strCache>
                <c:ptCount val="2"/>
                <c:pt idx="0">
                  <c:v>ESTABLECIDAS</c:v>
                </c:pt>
                <c:pt idx="1">
                  <c:v>MUJER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'APS 2025 C3'!$A$13:$A$16</c:f>
              <c:strCache>
                <c:ptCount val="4"/>
                <c:pt idx="0">
                  <c:v>Para hacer una diferencia en el mundo</c:v>
                </c:pt>
                <c:pt idx="1">
                  <c:v>Para ganar más dinero </c:v>
                </c:pt>
                <c:pt idx="2">
                  <c:v>Para continuar con una tradición familiar</c:v>
                </c:pt>
                <c:pt idx="3">
                  <c:v>Para tener un salario porque no hay trabajo</c:v>
                </c:pt>
              </c:strCache>
            </c:strRef>
          </c:cat>
          <c:val>
            <c:numRef>
              <c:f>'APS 2025 C3'!$E$13:$E$16</c:f>
              <c:numCache>
                <c:formatCode>0.0%</c:formatCode>
                <c:ptCount val="4"/>
                <c:pt idx="0">
                  <c:v>0.34</c:v>
                </c:pt>
                <c:pt idx="1">
                  <c:v>0.32900000000000001</c:v>
                </c:pt>
                <c:pt idx="2">
                  <c:v>0.25800000000000001</c:v>
                </c:pt>
                <c:pt idx="3">
                  <c:v>0.752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4-4FFB-A0EC-DB98C8545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593696"/>
        <c:axId val="2044581696"/>
      </c:barChart>
      <c:catAx>
        <c:axId val="204459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81696"/>
        <c:crosses val="autoZero"/>
        <c:auto val="1"/>
        <c:lblAlgn val="ctr"/>
        <c:lblOffset val="100"/>
        <c:noMultiLvlLbl val="0"/>
      </c:catAx>
      <c:valAx>
        <c:axId val="20445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9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C3'!$A$22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C3'!$B$21:$G$21</c:f>
              <c:strCache>
                <c:ptCount val="6"/>
                <c:pt idx="0">
                  <c:v>POTENCIAL</c:v>
                </c:pt>
                <c:pt idx="1">
                  <c:v>TEA</c:v>
                </c:pt>
                <c:pt idx="2">
                  <c:v>NACIENTES</c:v>
                </c:pt>
                <c:pt idx="3">
                  <c:v>NUEVAS </c:v>
                </c:pt>
                <c:pt idx="4">
                  <c:v>ESTABLECIDAS</c:v>
                </c:pt>
                <c:pt idx="5">
                  <c:v>ABANDONO</c:v>
                </c:pt>
              </c:strCache>
            </c:strRef>
          </c:cat>
          <c:val>
            <c:numRef>
              <c:f>'APS 2025 C3'!$B$22:$G$22</c:f>
              <c:numCache>
                <c:formatCode>0.0%</c:formatCode>
                <c:ptCount val="6"/>
                <c:pt idx="0">
                  <c:v>0.17399999999999999</c:v>
                </c:pt>
                <c:pt idx="1">
                  <c:v>6.3E-2</c:v>
                </c:pt>
                <c:pt idx="2">
                  <c:v>6.3E-2</c:v>
                </c:pt>
                <c:pt idx="3">
                  <c:v>6.2E-2</c:v>
                </c:pt>
                <c:pt idx="4">
                  <c:v>1.1000000000000001E-2</c:v>
                </c:pt>
                <c:pt idx="5">
                  <c:v>0.13600000000000001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7-47E2-8F99-0C9FC000EE29}"/>
            </c:ext>
          </c:extLst>
        </c:ser>
        <c:ser>
          <c:idx val="1"/>
          <c:order val="1"/>
          <c:tx>
            <c:strRef>
              <c:f>'APS 2025 C3'!$A$23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C3'!$B$21:$G$21</c:f>
              <c:strCache>
                <c:ptCount val="6"/>
                <c:pt idx="0">
                  <c:v>POTENCIAL</c:v>
                </c:pt>
                <c:pt idx="1">
                  <c:v>TEA</c:v>
                </c:pt>
                <c:pt idx="2">
                  <c:v>NACIENTES</c:v>
                </c:pt>
                <c:pt idx="3">
                  <c:v>NUEVAS </c:v>
                </c:pt>
                <c:pt idx="4">
                  <c:v>ESTABLECIDAS</c:v>
                </c:pt>
                <c:pt idx="5">
                  <c:v>ABANDONO</c:v>
                </c:pt>
              </c:strCache>
            </c:strRef>
          </c:cat>
          <c:val>
            <c:numRef>
              <c:f>'APS 2025 C3'!$B$23:$G$23</c:f>
              <c:numCache>
                <c:formatCode>0.0%</c:formatCode>
                <c:ptCount val="6"/>
                <c:pt idx="0">
                  <c:v>0.246</c:v>
                </c:pt>
                <c:pt idx="1">
                  <c:v>0.23200000000000001</c:v>
                </c:pt>
                <c:pt idx="2">
                  <c:v>0.27600000000000002</c:v>
                </c:pt>
                <c:pt idx="3">
                  <c:v>0.186</c:v>
                </c:pt>
                <c:pt idx="4">
                  <c:v>9.3000000000000013E-2</c:v>
                </c:pt>
                <c:pt idx="5">
                  <c:v>0.13900000000000001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7-47E2-8F99-0C9FC000EE29}"/>
            </c:ext>
          </c:extLst>
        </c:ser>
        <c:ser>
          <c:idx val="2"/>
          <c:order val="2"/>
          <c:tx>
            <c:strRef>
              <c:f>'APS 2025 C3'!$A$24</c:f>
              <c:strCache>
                <c:ptCount val="1"/>
                <c:pt idx="0">
                  <c:v>34-44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C3'!$B$21:$G$21</c:f>
              <c:strCache>
                <c:ptCount val="6"/>
                <c:pt idx="0">
                  <c:v>POTENCIAL</c:v>
                </c:pt>
                <c:pt idx="1">
                  <c:v>TEA</c:v>
                </c:pt>
                <c:pt idx="2">
                  <c:v>NACIENTES</c:v>
                </c:pt>
                <c:pt idx="3">
                  <c:v>NUEVAS </c:v>
                </c:pt>
                <c:pt idx="4">
                  <c:v>ESTABLECIDAS</c:v>
                </c:pt>
                <c:pt idx="5">
                  <c:v>ABANDONO</c:v>
                </c:pt>
              </c:strCache>
            </c:strRef>
          </c:cat>
          <c:val>
            <c:numRef>
              <c:f>'APS 2025 C3'!$B$24:$G$24</c:f>
              <c:numCache>
                <c:formatCode>0.0%</c:formatCode>
                <c:ptCount val="6"/>
                <c:pt idx="0">
                  <c:v>0.27800000000000002</c:v>
                </c:pt>
                <c:pt idx="1">
                  <c:v>0.29599999999999999</c:v>
                </c:pt>
                <c:pt idx="2">
                  <c:v>0.35899999999999999</c:v>
                </c:pt>
                <c:pt idx="3">
                  <c:v>0.23100000000000001</c:v>
                </c:pt>
                <c:pt idx="4">
                  <c:v>0.20899999999999999</c:v>
                </c:pt>
                <c:pt idx="5">
                  <c:v>0.35099999999999998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7-47E2-8F99-0C9FC000EE29}"/>
            </c:ext>
          </c:extLst>
        </c:ser>
        <c:ser>
          <c:idx val="3"/>
          <c:order val="3"/>
          <c:tx>
            <c:strRef>
              <c:f>'APS 2025 C3'!$A$25</c:f>
              <c:strCache>
                <c:ptCount val="1"/>
                <c:pt idx="0">
                  <c:v>45-54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'APS 2025 C3'!$B$21:$G$21</c:f>
              <c:strCache>
                <c:ptCount val="6"/>
                <c:pt idx="0">
                  <c:v>POTENCIAL</c:v>
                </c:pt>
                <c:pt idx="1">
                  <c:v>TEA</c:v>
                </c:pt>
                <c:pt idx="2">
                  <c:v>NACIENTES</c:v>
                </c:pt>
                <c:pt idx="3">
                  <c:v>NUEVAS </c:v>
                </c:pt>
                <c:pt idx="4">
                  <c:v>ESTABLECIDAS</c:v>
                </c:pt>
                <c:pt idx="5">
                  <c:v>ABANDONO</c:v>
                </c:pt>
              </c:strCache>
            </c:strRef>
          </c:cat>
          <c:val>
            <c:numRef>
              <c:f>'APS 2025 C3'!$B$25:$G$25</c:f>
              <c:numCache>
                <c:formatCode>0.0%</c:formatCode>
                <c:ptCount val="6"/>
                <c:pt idx="0">
                  <c:v>0.222</c:v>
                </c:pt>
                <c:pt idx="1">
                  <c:v>0.26900000000000002</c:v>
                </c:pt>
                <c:pt idx="2">
                  <c:v>0.18099999999999999</c:v>
                </c:pt>
                <c:pt idx="3">
                  <c:v>0.36099999999999999</c:v>
                </c:pt>
                <c:pt idx="4">
                  <c:v>0.34899999999999998</c:v>
                </c:pt>
                <c:pt idx="5">
                  <c:v>0.14599999999999999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47-47E2-8F99-0C9FC000EE29}"/>
            </c:ext>
          </c:extLst>
        </c:ser>
        <c:ser>
          <c:idx val="4"/>
          <c:order val="4"/>
          <c:tx>
            <c:strRef>
              <c:f>'APS 2025 C3'!$A$26</c:f>
              <c:strCache>
                <c:ptCount val="1"/>
                <c:pt idx="0">
                  <c:v>55-64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'APS 2025 C3'!$B$21:$G$21</c:f>
              <c:strCache>
                <c:ptCount val="6"/>
                <c:pt idx="0">
                  <c:v>POTENCIAL</c:v>
                </c:pt>
                <c:pt idx="1">
                  <c:v>TEA</c:v>
                </c:pt>
                <c:pt idx="2">
                  <c:v>NACIENTES</c:v>
                </c:pt>
                <c:pt idx="3">
                  <c:v>NUEVAS </c:v>
                </c:pt>
                <c:pt idx="4">
                  <c:v>ESTABLECIDAS</c:v>
                </c:pt>
                <c:pt idx="5">
                  <c:v>ABANDONO</c:v>
                </c:pt>
              </c:strCache>
            </c:strRef>
          </c:cat>
          <c:val>
            <c:numRef>
              <c:f>'APS 2025 C3'!$B$26:$G$26</c:f>
              <c:numCache>
                <c:formatCode>0.0%</c:formatCode>
                <c:ptCount val="6"/>
                <c:pt idx="0">
                  <c:v>8.1000000000000003E-2</c:v>
                </c:pt>
                <c:pt idx="1">
                  <c:v>0.14000000000000001</c:v>
                </c:pt>
                <c:pt idx="2">
                  <c:v>0.121</c:v>
                </c:pt>
                <c:pt idx="3">
                  <c:v>0.16</c:v>
                </c:pt>
                <c:pt idx="4">
                  <c:v>0.33799999999999997</c:v>
                </c:pt>
                <c:pt idx="5">
                  <c:v>0.22800000000000001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47-47E2-8F99-0C9FC000E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89984"/>
        <c:axId val="158590944"/>
      </c:barChart>
      <c:catAx>
        <c:axId val="15858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590944"/>
        <c:crosses val="autoZero"/>
        <c:auto val="1"/>
        <c:lblAlgn val="ctr"/>
        <c:lblOffset val="100"/>
        <c:noMultiLvlLbl val="0"/>
      </c:catAx>
      <c:valAx>
        <c:axId val="1585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858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EDAD Y 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C3'!$B$31</c:f>
              <c:strCache>
                <c:ptCount val="1"/>
                <c:pt idx="0">
                  <c:v>HOMBRE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C3'!$A$32:$A$36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34-44</c:v>
                </c:pt>
                <c:pt idx="3">
                  <c:v>45-54</c:v>
                </c:pt>
                <c:pt idx="4">
                  <c:v>55-64</c:v>
                </c:pt>
              </c:strCache>
            </c:strRef>
          </c:cat>
          <c:val>
            <c:numRef>
              <c:f>'APS 2025 C3'!$B$32:$B$36</c:f>
              <c:numCache>
                <c:formatCode>0.0%</c:formatCode>
                <c:ptCount val="5"/>
                <c:pt idx="0">
                  <c:v>0.11700000000000001</c:v>
                </c:pt>
                <c:pt idx="1">
                  <c:v>0.17299999999999999</c:v>
                </c:pt>
                <c:pt idx="2">
                  <c:v>0.21099999999999999</c:v>
                </c:pt>
                <c:pt idx="3">
                  <c:v>0.246</c:v>
                </c:pt>
                <c:pt idx="4">
                  <c:v>0.253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1-407A-9501-BE6356074266}"/>
            </c:ext>
          </c:extLst>
        </c:ser>
        <c:ser>
          <c:idx val="1"/>
          <c:order val="1"/>
          <c:tx>
            <c:strRef>
              <c:f>'APS 2025 C3'!$C$31</c:f>
              <c:strCache>
                <c:ptCount val="1"/>
                <c:pt idx="0">
                  <c:v>MUJER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C3'!$A$32:$A$36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34-44</c:v>
                </c:pt>
                <c:pt idx="3">
                  <c:v>45-54</c:v>
                </c:pt>
                <c:pt idx="4">
                  <c:v>55-64</c:v>
                </c:pt>
              </c:strCache>
            </c:strRef>
          </c:cat>
          <c:val>
            <c:numRef>
              <c:f>'APS 2025 C3'!$C$32:$C$36</c:f>
              <c:numCache>
                <c:formatCode>0.0%</c:formatCode>
                <c:ptCount val="5"/>
                <c:pt idx="0">
                  <c:v>0.115</c:v>
                </c:pt>
                <c:pt idx="1">
                  <c:v>0.16900000000000001</c:v>
                </c:pt>
                <c:pt idx="2">
                  <c:v>0.21</c:v>
                </c:pt>
                <c:pt idx="3">
                  <c:v>0.249</c:v>
                </c:pt>
                <c:pt idx="4">
                  <c:v>0.25700000000000001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01-407A-9501-BE6356074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67296"/>
        <c:axId val="133967776"/>
      </c:barChart>
      <c:catAx>
        <c:axId val="13396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967776"/>
        <c:crosses val="autoZero"/>
        <c:auto val="1"/>
        <c:lblAlgn val="ctr"/>
        <c:lblOffset val="100"/>
        <c:noMultiLvlLbl val="0"/>
      </c:catAx>
      <c:valAx>
        <c:axId val="13396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9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effectLst/>
              </a:rPr>
              <a:t>NIVEL EDUCATIVO</a:t>
            </a:r>
            <a:r>
              <a:rPr lang="es-ES" sz="1400" b="0" i="0" u="none" strike="noStrike" baseline="0">
                <a:effectLst/>
              </a:rPr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C3'!$B$41</c:f>
              <c:strCache>
                <c:ptCount val="1"/>
                <c:pt idx="0">
                  <c:v>POTENCIAL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C3'!$A$42:$A$49</c:f>
              <c:strCache>
                <c:ptCount val="8"/>
                <c:pt idx="0">
                  <c:v>Alfabetizado</c:v>
                </c:pt>
                <c:pt idx="1">
                  <c:v>Más de 5 años en escuela sin completar primaria/secundaria</c:v>
                </c:pt>
                <c:pt idx="2">
                  <c:v>Bachillerato / BUP / COU</c:v>
                </c:pt>
                <c:pt idx="3">
                  <c:v>FP grado medio o equivalente</c:v>
                </c:pt>
                <c:pt idx="4">
                  <c:v>Diplomatura / Ingeniería técnica</c:v>
                </c:pt>
                <c:pt idx="5">
                  <c:v>Licenciatura / Ingeniería</c:v>
                </c:pt>
                <c:pt idx="6">
                  <c:v>Máster</c:v>
                </c:pt>
                <c:pt idx="7">
                  <c:v>Doctorado</c:v>
                </c:pt>
              </c:strCache>
            </c:strRef>
          </c:cat>
          <c:val>
            <c:numRef>
              <c:f>'APS 2025 C3'!$B$42:$B$49</c:f>
              <c:numCache>
                <c:formatCode>0.0%</c:formatCode>
                <c:ptCount val="8"/>
                <c:pt idx="0">
                  <c:v>0.112</c:v>
                </c:pt>
                <c:pt idx="1">
                  <c:v>8.7999999999999995E-2</c:v>
                </c:pt>
                <c:pt idx="2">
                  <c:v>0.122</c:v>
                </c:pt>
                <c:pt idx="3">
                  <c:v>9.2999999999999999E-2</c:v>
                </c:pt>
                <c:pt idx="4">
                  <c:v>9.2999999999999999E-2</c:v>
                </c:pt>
                <c:pt idx="5">
                  <c:v>8.3000000000000004E-2</c:v>
                </c:pt>
                <c:pt idx="6">
                  <c:v>0.153</c:v>
                </c:pt>
                <c:pt idx="7">
                  <c:v>7.0999999999999994E-2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4-4114-B96E-91B39A0229D9}"/>
            </c:ext>
          </c:extLst>
        </c:ser>
        <c:ser>
          <c:idx val="1"/>
          <c:order val="1"/>
          <c:tx>
            <c:strRef>
              <c:f>'APS 2025 C3'!$C$41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C3'!$A$42:$A$49</c:f>
              <c:strCache>
                <c:ptCount val="8"/>
                <c:pt idx="0">
                  <c:v>Alfabetizado</c:v>
                </c:pt>
                <c:pt idx="1">
                  <c:v>Más de 5 años en escuela sin completar primaria/secundaria</c:v>
                </c:pt>
                <c:pt idx="2">
                  <c:v>Bachillerato / BUP / COU</c:v>
                </c:pt>
                <c:pt idx="3">
                  <c:v>FP grado medio o equivalente</c:v>
                </c:pt>
                <c:pt idx="4">
                  <c:v>Diplomatura / Ingeniería técnica</c:v>
                </c:pt>
                <c:pt idx="5">
                  <c:v>Licenciatura / Ingeniería</c:v>
                </c:pt>
                <c:pt idx="6">
                  <c:v>Máster</c:v>
                </c:pt>
                <c:pt idx="7">
                  <c:v>Doctorado</c:v>
                </c:pt>
              </c:strCache>
            </c:strRef>
          </c:cat>
          <c:val>
            <c:numRef>
              <c:f>'APS 2025 C3'!$C$42:$C$49</c:f>
              <c:numCache>
                <c:formatCode>0.0%</c:formatCode>
                <c:ptCount val="8"/>
                <c:pt idx="0">
                  <c:v>0.112</c:v>
                </c:pt>
                <c:pt idx="1">
                  <c:v>4.3999999999999997E-2</c:v>
                </c:pt>
                <c:pt idx="2">
                  <c:v>3.9E-2</c:v>
                </c:pt>
                <c:pt idx="3">
                  <c:v>8.2000000000000003E-2</c:v>
                </c:pt>
                <c:pt idx="4">
                  <c:v>5.5E-2</c:v>
                </c:pt>
                <c:pt idx="5">
                  <c:v>4.5999999999999999E-2</c:v>
                </c:pt>
                <c:pt idx="6">
                  <c:v>0.10299999999999999</c:v>
                </c:pt>
                <c:pt idx="7">
                  <c:v>8.5999999999999993E-2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4-4114-B96E-91B39A0229D9}"/>
            </c:ext>
          </c:extLst>
        </c:ser>
        <c:ser>
          <c:idx val="2"/>
          <c:order val="2"/>
          <c:tx>
            <c:strRef>
              <c:f>'APS 2025 C3'!$D$41</c:f>
              <c:strCache>
                <c:ptCount val="1"/>
                <c:pt idx="0">
                  <c:v>ESTABLECIDAS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C3'!$A$42:$A$49</c:f>
              <c:strCache>
                <c:ptCount val="8"/>
                <c:pt idx="0">
                  <c:v>Alfabetizado</c:v>
                </c:pt>
                <c:pt idx="1">
                  <c:v>Más de 5 años en escuela sin completar primaria/secundaria</c:v>
                </c:pt>
                <c:pt idx="2">
                  <c:v>Bachillerato / BUP / COU</c:v>
                </c:pt>
                <c:pt idx="3">
                  <c:v>FP grado medio o equivalente</c:v>
                </c:pt>
                <c:pt idx="4">
                  <c:v>Diplomatura / Ingeniería técnica</c:v>
                </c:pt>
                <c:pt idx="5">
                  <c:v>Licenciatura / Ingeniería</c:v>
                </c:pt>
                <c:pt idx="6">
                  <c:v>Máster</c:v>
                </c:pt>
                <c:pt idx="7">
                  <c:v>Doctorado</c:v>
                </c:pt>
              </c:strCache>
            </c:strRef>
          </c:cat>
          <c:val>
            <c:numRef>
              <c:f>'APS 2025 C3'!$D$42:$D$49</c:f>
              <c:numCache>
                <c:formatCode>0.0%</c:formatCode>
                <c:ptCount val="8"/>
                <c:pt idx="0">
                  <c:v>0.11899999999999999</c:v>
                </c:pt>
                <c:pt idx="1">
                  <c:v>0.106</c:v>
                </c:pt>
                <c:pt idx="2">
                  <c:v>9.7000000000000003E-2</c:v>
                </c:pt>
                <c:pt idx="3">
                  <c:v>9.0999999999999998E-2</c:v>
                </c:pt>
                <c:pt idx="4">
                  <c:v>7.0000000000000007E-2</c:v>
                </c:pt>
                <c:pt idx="5">
                  <c:v>0.10400000000000001</c:v>
                </c:pt>
                <c:pt idx="6">
                  <c:v>4.9000000000000002E-2</c:v>
                </c:pt>
                <c:pt idx="7">
                  <c:v>0.10400000000000001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4-4114-B96E-91B39A0229D9}"/>
            </c:ext>
          </c:extLst>
        </c:ser>
        <c:ser>
          <c:idx val="3"/>
          <c:order val="3"/>
          <c:tx>
            <c:strRef>
              <c:f>'APS 2025 C3'!$E$41</c:f>
              <c:strCache>
                <c:ptCount val="1"/>
                <c:pt idx="0">
                  <c:v>ABANDONO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'APS 2025 C3'!$A$42:$A$49</c:f>
              <c:strCache>
                <c:ptCount val="8"/>
                <c:pt idx="0">
                  <c:v>Alfabetizado</c:v>
                </c:pt>
                <c:pt idx="1">
                  <c:v>Más de 5 años en escuela sin completar primaria/secundaria</c:v>
                </c:pt>
                <c:pt idx="2">
                  <c:v>Bachillerato / BUP / COU</c:v>
                </c:pt>
                <c:pt idx="3">
                  <c:v>FP grado medio o equivalente</c:v>
                </c:pt>
                <c:pt idx="4">
                  <c:v>Diplomatura / Ingeniería técnica</c:v>
                </c:pt>
                <c:pt idx="5">
                  <c:v>Licenciatura / Ingeniería</c:v>
                </c:pt>
                <c:pt idx="6">
                  <c:v>Máster</c:v>
                </c:pt>
                <c:pt idx="7">
                  <c:v>Doctorado</c:v>
                </c:pt>
              </c:strCache>
            </c:strRef>
          </c:cat>
          <c:val>
            <c:numRef>
              <c:f>'APS 2025 C3'!$E$42:$E$49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4D94-4114-B96E-91B39A022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67472"/>
        <c:axId val="160567952"/>
      </c:barChart>
      <c:catAx>
        <c:axId val="16056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567952"/>
        <c:crosses val="autoZero"/>
        <c:auto val="1"/>
        <c:lblAlgn val="ctr"/>
        <c:lblOffset val="100"/>
        <c:noMultiLvlLbl val="0"/>
      </c:catAx>
      <c:valAx>
        <c:axId val="1605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5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effectLst/>
              </a:rPr>
              <a:t>FORMACIÓN ESPECÍFICA EN EMPRENDIMIENTO</a:t>
            </a:r>
            <a:r>
              <a:rPr lang="es-ES" sz="1400" b="0" i="0" u="none" strike="noStrike" baseline="0">
                <a:effectLst/>
              </a:rPr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C3'!$B$53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C3'!$A$54:$A$58</c:f>
              <c:strCache>
                <c:ptCount val="5"/>
                <c:pt idx="0">
                  <c:v>Ninguna</c:v>
                </c:pt>
                <c:pt idx="1">
                  <c:v>Básica</c:v>
                </c:pt>
                <c:pt idx="2">
                  <c:v>Intermedia</c:v>
                </c:pt>
                <c:pt idx="3">
                  <c:v>Alta</c:v>
                </c:pt>
                <c:pt idx="4">
                  <c:v>Avanzada</c:v>
                </c:pt>
              </c:strCache>
            </c:strRef>
          </c:cat>
          <c:val>
            <c:numRef>
              <c:f>'APS 2025 C3'!$B$54:$B$58</c:f>
              <c:numCache>
                <c:formatCode>0.0%</c:formatCode>
                <c:ptCount val="5"/>
                <c:pt idx="0">
                  <c:v>0.14099999999999999</c:v>
                </c:pt>
                <c:pt idx="1">
                  <c:v>0.17199999999999999</c:v>
                </c:pt>
                <c:pt idx="2">
                  <c:v>0.27300000000000002</c:v>
                </c:pt>
                <c:pt idx="3">
                  <c:v>0.17699999999999999</c:v>
                </c:pt>
                <c:pt idx="4">
                  <c:v>0.23699999999999999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9-4C6E-9F9D-8709CD689796}"/>
            </c:ext>
          </c:extLst>
        </c:ser>
        <c:ser>
          <c:idx val="1"/>
          <c:order val="1"/>
          <c:tx>
            <c:strRef>
              <c:f>'APS 2025 C3'!$C$53</c:f>
              <c:strCache>
                <c:ptCount val="1"/>
                <c:pt idx="0">
                  <c:v>ESTABLECIDA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C3'!$A$54:$A$58</c:f>
              <c:strCache>
                <c:ptCount val="5"/>
                <c:pt idx="0">
                  <c:v>Ninguna</c:v>
                </c:pt>
                <c:pt idx="1">
                  <c:v>Básica</c:v>
                </c:pt>
                <c:pt idx="2">
                  <c:v>Intermedia</c:v>
                </c:pt>
                <c:pt idx="3">
                  <c:v>Alta</c:v>
                </c:pt>
                <c:pt idx="4">
                  <c:v>Avanzada</c:v>
                </c:pt>
              </c:strCache>
            </c:strRef>
          </c:cat>
          <c:val>
            <c:numRef>
              <c:f>'APS 2025 C3'!$C$54:$C$58</c:f>
              <c:numCache>
                <c:formatCode>0.0%</c:formatCode>
                <c:ptCount val="5"/>
                <c:pt idx="0">
                  <c:v>0.20200000000000001</c:v>
                </c:pt>
                <c:pt idx="1">
                  <c:v>0.214</c:v>
                </c:pt>
                <c:pt idx="2">
                  <c:v>0.224</c:v>
                </c:pt>
                <c:pt idx="3">
                  <c:v>0.13300000000000001</c:v>
                </c:pt>
                <c:pt idx="4">
                  <c:v>0.22700000000000001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39-4C6E-9F9D-8709CD689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178448"/>
        <c:axId val="286177488"/>
      </c:barChart>
      <c:catAx>
        <c:axId val="28617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86177488"/>
        <c:crosses val="autoZero"/>
        <c:auto val="1"/>
        <c:lblAlgn val="ctr"/>
        <c:lblOffset val="100"/>
        <c:noMultiLvlLbl val="0"/>
      </c:catAx>
      <c:valAx>
        <c:axId val="2861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8617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RURAL Y URBANA GENERO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C3'!$A$64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'APS 2025 C3'!$B$62:$E$63</c:f>
              <c:multiLvlStrCache>
                <c:ptCount val="4"/>
                <c:lvl>
                  <c:pt idx="0">
                    <c:v>HOMBRE</c:v>
                  </c:pt>
                  <c:pt idx="1">
                    <c:v>MUJER</c:v>
                  </c:pt>
                  <c:pt idx="2">
                    <c:v>HOMBRE</c:v>
                  </c:pt>
                  <c:pt idx="3">
                    <c:v>MUJER</c:v>
                  </c:pt>
                </c:lvl>
                <c:lvl>
                  <c:pt idx="0">
                    <c:v>TEA</c:v>
                  </c:pt>
                  <c:pt idx="2">
                    <c:v>ESTABLECIDA</c:v>
                  </c:pt>
                </c:lvl>
              </c:multiLvlStrCache>
            </c:multiLvlStrRef>
          </c:cat>
          <c:val>
            <c:numRef>
              <c:f>'APS 2025 C3'!$B$64:$E$64</c:f>
              <c:numCache>
                <c:formatCode>General</c:formatCode>
                <c:ptCount val="4"/>
                <c:pt idx="0">
                  <c:v>8.4</c:v>
                </c:pt>
                <c:pt idx="1">
                  <c:v>6.4</c:v>
                </c:pt>
                <c:pt idx="2">
                  <c:v>9.6</c:v>
                </c:pt>
                <c:pt idx="3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6-4FF2-915D-48ED9B84215A}"/>
            </c:ext>
          </c:extLst>
        </c:ser>
        <c:ser>
          <c:idx val="1"/>
          <c:order val="1"/>
          <c:tx>
            <c:strRef>
              <c:f>'APS 2025 C3'!$A$65</c:f>
              <c:strCache>
                <c:ptCount val="1"/>
                <c:pt idx="0">
                  <c:v>URBANA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'APS 2025 C3'!$B$62:$E$63</c:f>
              <c:multiLvlStrCache>
                <c:ptCount val="4"/>
                <c:lvl>
                  <c:pt idx="0">
                    <c:v>HOMBRE</c:v>
                  </c:pt>
                  <c:pt idx="1">
                    <c:v>MUJER</c:v>
                  </c:pt>
                  <c:pt idx="2">
                    <c:v>HOMBRE</c:v>
                  </c:pt>
                  <c:pt idx="3">
                    <c:v>MUJER</c:v>
                  </c:pt>
                </c:lvl>
                <c:lvl>
                  <c:pt idx="0">
                    <c:v>TEA</c:v>
                  </c:pt>
                  <c:pt idx="2">
                    <c:v>ESTABLECIDA</c:v>
                  </c:pt>
                </c:lvl>
              </c:multiLvlStrCache>
            </c:multiLvlStrRef>
          </c:cat>
          <c:val>
            <c:numRef>
              <c:f>'APS 2025 C3'!$B$65:$E$65</c:f>
              <c:numCache>
                <c:formatCode>General</c:formatCode>
                <c:ptCount val="4"/>
                <c:pt idx="0">
                  <c:v>5.6</c:v>
                </c:pt>
                <c:pt idx="1">
                  <c:v>5.0999999999999996</c:v>
                </c:pt>
                <c:pt idx="2">
                  <c:v>7.4</c:v>
                </c:pt>
                <c:pt idx="3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6-4FF2-915D-48ED9B842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40288"/>
        <c:axId val="133945568"/>
      </c:barChart>
      <c:catAx>
        <c:axId val="1339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945568"/>
        <c:crosses val="autoZero"/>
        <c:auto val="1"/>
        <c:lblAlgn val="ctr"/>
        <c:lblOffset val="100"/>
        <c:noMultiLvlLbl val="0"/>
      </c:catAx>
      <c:valAx>
        <c:axId val="1339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94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1. Actividad emprendedora (TEA) según nivel de 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C3'!$A$99</c:f>
              <c:strCache>
                <c:ptCount val="1"/>
                <c:pt idx="0">
                  <c:v>Bajo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C3'!$B$98:$D$98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C3'!$B$99:$D$99</c:f>
              <c:numCache>
                <c:formatCode>0.0%</c:formatCode>
                <c:ptCount val="3"/>
                <c:pt idx="0">
                  <c:v>0.27800000000000002</c:v>
                </c:pt>
                <c:pt idx="1">
                  <c:v>0.313</c:v>
                </c:pt>
                <c:pt idx="2" formatCode="0.00%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6-4E9D-9E26-320F5345EB62}"/>
            </c:ext>
          </c:extLst>
        </c:ser>
        <c:ser>
          <c:idx val="1"/>
          <c:order val="1"/>
          <c:tx>
            <c:strRef>
              <c:f>'APS 2025 C3'!$A$100</c:f>
              <c:strCache>
                <c:ptCount val="1"/>
                <c:pt idx="0">
                  <c:v>Medio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C3'!$B$98:$D$98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C3'!$B$100:$D$100</c:f>
              <c:numCache>
                <c:formatCode>0.0%</c:formatCode>
                <c:ptCount val="3"/>
                <c:pt idx="0">
                  <c:v>0.41699999999999998</c:v>
                </c:pt>
                <c:pt idx="1">
                  <c:v>0.35399999999999998</c:v>
                </c:pt>
                <c:pt idx="2" formatCode="0.00%">
                  <c:v>0.38100000000000001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6-4E9D-9E26-320F5345EB62}"/>
            </c:ext>
          </c:extLst>
        </c:ser>
        <c:ser>
          <c:idx val="2"/>
          <c:order val="2"/>
          <c:tx>
            <c:strRef>
              <c:f>'APS 2025 C3'!$A$101</c:f>
              <c:strCache>
                <c:ptCount val="1"/>
                <c:pt idx="0">
                  <c:v>Alto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C3'!$B$98:$D$98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C3'!$B$101:$D$101</c:f>
              <c:numCache>
                <c:formatCode>0.0%</c:formatCode>
                <c:ptCount val="3"/>
                <c:pt idx="0">
                  <c:v>0.30599999999999999</c:v>
                </c:pt>
                <c:pt idx="1">
                  <c:v>0.33300000000000002</c:v>
                </c:pt>
                <c:pt idx="2" formatCode="0.00%">
                  <c:v>0.32100000000000001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6-4E9D-9E26-320F5345E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84208"/>
        <c:axId val="135783248"/>
      </c:barChart>
      <c:catAx>
        <c:axId val="13578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5783248"/>
        <c:crosses val="autoZero"/>
        <c:auto val="1"/>
        <c:lblAlgn val="ctr"/>
        <c:lblOffset val="100"/>
        <c:noMultiLvlLbl val="0"/>
      </c:catAx>
      <c:valAx>
        <c:axId val="13578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578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C3.2'!$A$5</c:f>
              <c:strCache>
                <c:ptCount val="1"/>
                <c:pt idx="0">
                  <c:v>No requiere capital inicial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C3.2'!$B$4:$D$4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Extemadura</c:v>
                </c:pt>
              </c:strCache>
            </c:strRef>
          </c:cat>
          <c:val>
            <c:numRef>
              <c:f>'APS 2025 C3.2'!$B$5:$D$5</c:f>
              <c:numCache>
                <c:formatCode>0.0%</c:formatCode>
                <c:ptCount val="3"/>
                <c:pt idx="0">
                  <c:v>0.25900000000000001</c:v>
                </c:pt>
                <c:pt idx="1">
                  <c:v>0.216</c:v>
                </c:pt>
                <c:pt idx="2">
                  <c:v>0.23200000000000001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7-47F8-A0B3-C0393CDCD96B}"/>
            </c:ext>
          </c:extLst>
        </c:ser>
        <c:ser>
          <c:idx val="1"/>
          <c:order val="1"/>
          <c:tx>
            <c:strRef>
              <c:f>'APS 2025 C3.2'!$A$6</c:f>
              <c:strCache>
                <c:ptCount val="1"/>
                <c:pt idx="0">
                  <c:v>Sí requiere capital inicial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C3.2'!$B$4:$D$4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Extemadura</c:v>
                </c:pt>
              </c:strCache>
            </c:strRef>
          </c:cat>
          <c:val>
            <c:numRef>
              <c:f>'APS 2025 C3.2'!$B$6:$D$6</c:f>
              <c:numCache>
                <c:formatCode>0.0%</c:formatCode>
                <c:ptCount val="3"/>
                <c:pt idx="0">
                  <c:v>0.74099999999999999</c:v>
                </c:pt>
                <c:pt idx="1">
                  <c:v>0.78400000000000003</c:v>
                </c:pt>
                <c:pt idx="2">
                  <c:v>0.76800000000000002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27-47F8-A0B3-C0393CDCD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46560"/>
        <c:axId val="112946080"/>
      </c:barChart>
      <c:catAx>
        <c:axId val="11294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946080"/>
        <c:crosses val="autoZero"/>
        <c:auto val="1"/>
        <c:lblAlgn val="ctr"/>
        <c:lblOffset val="100"/>
        <c:noMultiLvlLbl val="0"/>
      </c:catAx>
      <c:valAx>
        <c:axId val="11294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94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C3.2'!$E$5</c:f>
              <c:strCache>
                <c:ptCount val="1"/>
                <c:pt idx="0">
                  <c:v>No requiere capital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C3.2'!$F$4:$G$4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'APS 2025 C3.2'!$F$5:$G$5</c:f>
              <c:numCache>
                <c:formatCode>0.0%</c:formatCode>
                <c:ptCount val="2"/>
                <c:pt idx="0">
                  <c:v>0.219</c:v>
                </c:pt>
                <c:pt idx="1">
                  <c:v>0.249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E-424F-9C8B-7E4A45E0FA9D}"/>
            </c:ext>
          </c:extLst>
        </c:ser>
        <c:ser>
          <c:idx val="1"/>
          <c:order val="1"/>
          <c:tx>
            <c:strRef>
              <c:f>'APS 2025 C3.2'!$E$6</c:f>
              <c:strCache>
                <c:ptCount val="1"/>
                <c:pt idx="0">
                  <c:v>Sí requiere capital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C3.2'!$F$4:$G$4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'APS 2025 C3.2'!$F$6:$G$6</c:f>
              <c:numCache>
                <c:formatCode>0.0%</c:formatCode>
                <c:ptCount val="2"/>
                <c:pt idx="0">
                  <c:v>0.78100000000000003</c:v>
                </c:pt>
                <c:pt idx="1">
                  <c:v>0.751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7E-424F-9C8B-7E4A45E0F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598016"/>
        <c:axId val="2044595136"/>
      </c:barChart>
      <c:catAx>
        <c:axId val="204459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95136"/>
        <c:crosses val="autoZero"/>
        <c:auto val="1"/>
        <c:lblAlgn val="ctr"/>
        <c:lblOffset val="100"/>
        <c:noMultiLvlLbl val="0"/>
      </c:catAx>
      <c:valAx>
        <c:axId val="20445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9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4. Origen del capital inicial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C3.2'!$B$11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C3.2'!$A$12:$A$16</c:f>
              <c:strCache>
                <c:ptCount val="5"/>
                <c:pt idx="0">
                  <c:v>Ahorros personales</c:v>
                </c:pt>
                <c:pt idx="1">
                  <c:v>Familiares</c:v>
                </c:pt>
                <c:pt idx="2">
                  <c:v>Subvenciones públicas</c:v>
                </c:pt>
                <c:pt idx="3">
                  <c:v>Bancos</c:v>
                </c:pt>
                <c:pt idx="4">
                  <c:v>Otras fuentes</c:v>
                </c:pt>
              </c:strCache>
            </c:strRef>
          </c:cat>
          <c:val>
            <c:numRef>
              <c:f>'APS 2025 C3.2'!$B$12:$B$16</c:f>
              <c:numCache>
                <c:formatCode>0.0%</c:formatCode>
                <c:ptCount val="5"/>
                <c:pt idx="0">
                  <c:v>0.60750000000000004</c:v>
                </c:pt>
                <c:pt idx="1">
                  <c:v>0.2445</c:v>
                </c:pt>
                <c:pt idx="2">
                  <c:v>4.8217000000000003E-2</c:v>
                </c:pt>
                <c:pt idx="3">
                  <c:v>8.6431999999999995E-2</c:v>
                </c:pt>
                <c:pt idx="4">
                  <c:v>1.9386E-2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2-4EC4-AD6D-29A5F9EB0F81}"/>
            </c:ext>
          </c:extLst>
        </c:ser>
        <c:ser>
          <c:idx val="1"/>
          <c:order val="1"/>
          <c:tx>
            <c:strRef>
              <c:f>'APS 2025 C3.2'!$C$11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C3.2'!$A$12:$A$16</c:f>
              <c:strCache>
                <c:ptCount val="5"/>
                <c:pt idx="0">
                  <c:v>Ahorros personales</c:v>
                </c:pt>
                <c:pt idx="1">
                  <c:v>Familiares</c:v>
                </c:pt>
                <c:pt idx="2">
                  <c:v>Subvenciones públicas</c:v>
                </c:pt>
                <c:pt idx="3">
                  <c:v>Bancos</c:v>
                </c:pt>
                <c:pt idx="4">
                  <c:v>Otras fuentes</c:v>
                </c:pt>
              </c:strCache>
            </c:strRef>
          </c:cat>
          <c:val>
            <c:numRef>
              <c:f>'APS 2025 C3.2'!$C$12:$C$16</c:f>
              <c:numCache>
                <c:formatCode>0.0%</c:formatCode>
                <c:ptCount val="5"/>
                <c:pt idx="0">
                  <c:v>0.596858</c:v>
                </c:pt>
                <c:pt idx="1">
                  <c:v>6.0010000000000001E-2</c:v>
                </c:pt>
                <c:pt idx="2">
                  <c:v>0.120058</c:v>
                </c:pt>
                <c:pt idx="3">
                  <c:v>0.114208</c:v>
                </c:pt>
                <c:pt idx="4">
                  <c:v>7.6365000000000002E-2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2-4EC4-AD6D-29A5F9EB0F81}"/>
            </c:ext>
          </c:extLst>
        </c:ser>
        <c:ser>
          <c:idx val="2"/>
          <c:order val="2"/>
          <c:tx>
            <c:strRef>
              <c:f>'APS 2025 C3.2'!$D$11</c:f>
              <c:strCache>
                <c:ptCount val="1"/>
                <c:pt idx="0">
                  <c:v>Extemadura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C3.2'!$A$12:$A$16</c:f>
              <c:strCache>
                <c:ptCount val="5"/>
                <c:pt idx="0">
                  <c:v>Ahorros personales</c:v>
                </c:pt>
                <c:pt idx="1">
                  <c:v>Familiares</c:v>
                </c:pt>
                <c:pt idx="2">
                  <c:v>Subvenciones públicas</c:v>
                </c:pt>
                <c:pt idx="3">
                  <c:v>Bancos</c:v>
                </c:pt>
                <c:pt idx="4">
                  <c:v>Otras fuentes</c:v>
                </c:pt>
              </c:strCache>
            </c:strRef>
          </c:cat>
          <c:val>
            <c:numRef>
              <c:f>'APS 2025 C3.2'!$D$12:$D$16</c:f>
              <c:numCache>
                <c:formatCode>0.0%</c:formatCode>
                <c:ptCount val="5"/>
                <c:pt idx="0">
                  <c:v>0.59830000000000005</c:v>
                </c:pt>
                <c:pt idx="1">
                  <c:v>0.12790000000000001</c:v>
                </c:pt>
                <c:pt idx="2">
                  <c:v>9.3600000000000003E-2</c:v>
                </c:pt>
                <c:pt idx="3">
                  <c:v>0.104</c:v>
                </c:pt>
                <c:pt idx="4">
                  <c:v>5.5399999999999998E-2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2-4EC4-AD6D-29A5F9EB0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96384"/>
        <c:axId val="141398784"/>
      </c:barChart>
      <c:catAx>
        <c:axId val="14139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398784"/>
        <c:crosses val="autoZero"/>
        <c:auto val="1"/>
        <c:lblAlgn val="ctr"/>
        <c:lblOffset val="100"/>
        <c:noMultiLvlLbl val="0"/>
      </c:catAx>
      <c:valAx>
        <c:axId val="14139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139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C3.2'!$A$19</c:f>
              <c:strCache>
                <c:ptCount val="1"/>
                <c:pt idx="0">
                  <c:v>Media capital inicial (€)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C3.2'!$B$18:$D$18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C3.2'!$B$19:$D$19</c:f>
              <c:numCache>
                <c:formatCode>_-* #,##0.0\ "€"_-;\-* #,##0.0\ "€"_-;_-* "-"??\ "€"_-;_-@_-</c:formatCode>
                <c:ptCount val="3"/>
                <c:pt idx="0">
                  <c:v>62977.224900000001</c:v>
                </c:pt>
                <c:pt idx="1">
                  <c:v>77231.828299999994</c:v>
                </c:pt>
                <c:pt idx="2">
                  <c:v>71985.570000000007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B-4F47-91ED-CADC000C2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586496"/>
        <c:axId val="2044579776"/>
      </c:barChart>
      <c:catAx>
        <c:axId val="20445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79776"/>
        <c:crosses val="autoZero"/>
        <c:auto val="1"/>
        <c:lblAlgn val="ctr"/>
        <c:lblOffset val="100"/>
        <c:noMultiLvlLbl val="0"/>
      </c:catAx>
      <c:valAx>
        <c:axId val="20445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\ &quot;€&quot;_-;\-* #,##0.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8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6. Distribución del capital inicial requerido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C3.2'!$C$22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'APS 2025 C3.2'!$A$23:$B$39</c:f>
              <c:multiLvlStrCache>
                <c:ptCount val="17"/>
                <c:lvl>
                  <c:pt idx="0">
                    <c:v>8,2%</c:v>
                  </c:pt>
                  <c:pt idx="1">
                    <c:v>—</c:v>
                  </c:pt>
                  <c:pt idx="2">
                    <c:v>7,5%</c:v>
                  </c:pt>
                  <c:pt idx="3">
                    <c:v>—</c:v>
                  </c:pt>
                  <c:pt idx="4">
                    <c:v>6,7%</c:v>
                  </c:pt>
                  <c:pt idx="5">
                    <c:v>22,7%</c:v>
                  </c:pt>
                  <c:pt idx="6">
                    <c:v>—</c:v>
                  </c:pt>
                  <c:pt idx="7">
                    <c:v>7,0%</c:v>
                  </c:pt>
                  <c:pt idx="8">
                    <c:v>—</c:v>
                  </c:pt>
                  <c:pt idx="9">
                    <c:v>6,5%</c:v>
                  </c:pt>
                  <c:pt idx="10">
                    <c:v>13,1%</c:v>
                  </c:pt>
                  <c:pt idx="11">
                    <c:v>7,8%</c:v>
                  </c:pt>
                  <c:pt idx="12">
                    <c:v>7,5%</c:v>
                  </c:pt>
                  <c:pt idx="13">
                    <c:v>6,5%</c:v>
                  </c:pt>
                  <c:pt idx="14">
                    <c:v>—</c:v>
                  </c:pt>
                  <c:pt idx="15">
                    <c:v>6,5%</c:v>
                  </c:pt>
                  <c:pt idx="16">
                    <c:v>—</c:v>
                  </c:pt>
                </c:lvl>
                <c:lvl>
                  <c:pt idx="0">
                    <c:v>200000,0%</c:v>
                  </c:pt>
                  <c:pt idx="1">
                    <c:v>300000,0%</c:v>
                  </c:pt>
                  <c:pt idx="2">
                    <c:v>400000,0%</c:v>
                  </c:pt>
                  <c:pt idx="3">
                    <c:v>500000,0%</c:v>
                  </c:pt>
                  <c:pt idx="4">
                    <c:v>1000000,0%</c:v>
                  </c:pt>
                  <c:pt idx="5">
                    <c:v>2000000,0%</c:v>
                  </c:pt>
                  <c:pt idx="6">
                    <c:v>2500000,0%</c:v>
                  </c:pt>
                  <c:pt idx="7">
                    <c:v>3000000,0%</c:v>
                  </c:pt>
                  <c:pt idx="8">
                    <c:v>4760000,0%</c:v>
                  </c:pt>
                  <c:pt idx="9">
                    <c:v>5000000,0%</c:v>
                  </c:pt>
                  <c:pt idx="10">
                    <c:v>6000000,0%</c:v>
                  </c:pt>
                  <c:pt idx="11">
                    <c:v>11500000,0%</c:v>
                  </c:pt>
                  <c:pt idx="12">
                    <c:v>12000000,0%</c:v>
                  </c:pt>
                  <c:pt idx="13">
                    <c:v>15000000,0%</c:v>
                  </c:pt>
                  <c:pt idx="14">
                    <c:v>20000000,0%</c:v>
                  </c:pt>
                  <c:pt idx="15">
                    <c:v>25000000,0%</c:v>
                  </c:pt>
                  <c:pt idx="16">
                    <c:v>50000000,0%</c:v>
                  </c:pt>
                </c:lvl>
              </c:multiLvlStrCache>
            </c:multiLvlStrRef>
          </c:cat>
          <c:val>
            <c:numRef>
              <c:f>'APS 2025 C3.2'!$C$23:$C$39</c:f>
              <c:numCache>
                <c:formatCode>0.0%</c:formatCode>
                <c:ptCount val="17"/>
                <c:pt idx="0">
                  <c:v>0</c:v>
                </c:pt>
                <c:pt idx="1">
                  <c:v>7.5999999999999998E-2</c:v>
                </c:pt>
                <c:pt idx="2">
                  <c:v>0</c:v>
                </c:pt>
                <c:pt idx="3">
                  <c:v>7.0000000000000007E-2</c:v>
                </c:pt>
                <c:pt idx="4">
                  <c:v>0.28199999999999997</c:v>
                </c:pt>
                <c:pt idx="5">
                  <c:v>7.5999999999999998E-2</c:v>
                </c:pt>
                <c:pt idx="6">
                  <c:v>7.0000000000000007E-2</c:v>
                </c:pt>
                <c:pt idx="7">
                  <c:v>0</c:v>
                </c:pt>
                <c:pt idx="8">
                  <c:v>7.0000000000000007E-2</c:v>
                </c:pt>
                <c:pt idx="9">
                  <c:v>0.14199999999999999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7.3999999999999996E-2</c:v>
                </c:pt>
                <c:pt idx="14">
                  <c:v>7.0000000000000007E-2</c:v>
                </c:pt>
                <c:pt idx="15">
                  <c:v>0</c:v>
                </c:pt>
                <c:pt idx="16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9-466D-9547-B29E647A06DC}"/>
            </c:ext>
          </c:extLst>
        </c:ser>
        <c:ser>
          <c:idx val="1"/>
          <c:order val="1"/>
          <c:tx>
            <c:strRef>
              <c:f>'APS 2025 C3.2'!$D$22</c:f>
              <c:strCache>
                <c:ptCount val="1"/>
                <c:pt idx="0">
                  <c:v>Extemadura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'APS 2025 C3.2'!$A$23:$B$39</c:f>
              <c:multiLvlStrCache>
                <c:ptCount val="17"/>
                <c:lvl>
                  <c:pt idx="0">
                    <c:v>8,2%</c:v>
                  </c:pt>
                  <c:pt idx="1">
                    <c:v>—</c:v>
                  </c:pt>
                  <c:pt idx="2">
                    <c:v>7,5%</c:v>
                  </c:pt>
                  <c:pt idx="3">
                    <c:v>—</c:v>
                  </c:pt>
                  <c:pt idx="4">
                    <c:v>6,7%</c:v>
                  </c:pt>
                  <c:pt idx="5">
                    <c:v>22,7%</c:v>
                  </c:pt>
                  <c:pt idx="6">
                    <c:v>—</c:v>
                  </c:pt>
                  <c:pt idx="7">
                    <c:v>7,0%</c:v>
                  </c:pt>
                  <c:pt idx="8">
                    <c:v>—</c:v>
                  </c:pt>
                  <c:pt idx="9">
                    <c:v>6,5%</c:v>
                  </c:pt>
                  <c:pt idx="10">
                    <c:v>13,1%</c:v>
                  </c:pt>
                  <c:pt idx="11">
                    <c:v>7,8%</c:v>
                  </c:pt>
                  <c:pt idx="12">
                    <c:v>7,5%</c:v>
                  </c:pt>
                  <c:pt idx="13">
                    <c:v>6,5%</c:v>
                  </c:pt>
                  <c:pt idx="14">
                    <c:v>—</c:v>
                  </c:pt>
                  <c:pt idx="15">
                    <c:v>6,5%</c:v>
                  </c:pt>
                  <c:pt idx="16">
                    <c:v>—</c:v>
                  </c:pt>
                </c:lvl>
                <c:lvl>
                  <c:pt idx="0">
                    <c:v>200000,0%</c:v>
                  </c:pt>
                  <c:pt idx="1">
                    <c:v>300000,0%</c:v>
                  </c:pt>
                  <c:pt idx="2">
                    <c:v>400000,0%</c:v>
                  </c:pt>
                  <c:pt idx="3">
                    <c:v>500000,0%</c:v>
                  </c:pt>
                  <c:pt idx="4">
                    <c:v>1000000,0%</c:v>
                  </c:pt>
                  <c:pt idx="5">
                    <c:v>2000000,0%</c:v>
                  </c:pt>
                  <c:pt idx="6">
                    <c:v>2500000,0%</c:v>
                  </c:pt>
                  <c:pt idx="7">
                    <c:v>3000000,0%</c:v>
                  </c:pt>
                  <c:pt idx="8">
                    <c:v>4760000,0%</c:v>
                  </c:pt>
                  <c:pt idx="9">
                    <c:v>5000000,0%</c:v>
                  </c:pt>
                  <c:pt idx="10">
                    <c:v>6000000,0%</c:v>
                  </c:pt>
                  <c:pt idx="11">
                    <c:v>11500000,0%</c:v>
                  </c:pt>
                  <c:pt idx="12">
                    <c:v>12000000,0%</c:v>
                  </c:pt>
                  <c:pt idx="13">
                    <c:v>15000000,0%</c:v>
                  </c:pt>
                  <c:pt idx="14">
                    <c:v>20000000,0%</c:v>
                  </c:pt>
                  <c:pt idx="15">
                    <c:v>25000000,0%</c:v>
                  </c:pt>
                  <c:pt idx="16">
                    <c:v>50000000,0%</c:v>
                  </c:pt>
                </c:lvl>
              </c:multiLvlStrCache>
            </c:multiLvlStrRef>
          </c:cat>
          <c:val>
            <c:numRef>
              <c:f>'APS 2025 C3.2'!$D$23:$D$39</c:f>
              <c:numCache>
                <c:formatCode>0.0%</c:formatCode>
                <c:ptCount val="17"/>
                <c:pt idx="0">
                  <c:v>0.03</c:v>
                </c:pt>
                <c:pt idx="1">
                  <c:v>4.8000000000000001E-2</c:v>
                </c:pt>
                <c:pt idx="2">
                  <c:v>2.8000000000000001E-2</c:v>
                </c:pt>
                <c:pt idx="3">
                  <c:v>4.3999999999999997E-2</c:v>
                </c:pt>
                <c:pt idx="4">
                  <c:v>0.20300000000000001</c:v>
                </c:pt>
                <c:pt idx="5">
                  <c:v>0.13200000000000001</c:v>
                </c:pt>
                <c:pt idx="6">
                  <c:v>4.3999999999999997E-2</c:v>
                </c:pt>
                <c:pt idx="7">
                  <c:v>2.5999999999999999E-2</c:v>
                </c:pt>
                <c:pt idx="8">
                  <c:v>4.3999999999999997E-2</c:v>
                </c:pt>
                <c:pt idx="9">
                  <c:v>0.114</c:v>
                </c:pt>
                <c:pt idx="10">
                  <c:v>4.8000000000000001E-2</c:v>
                </c:pt>
                <c:pt idx="11">
                  <c:v>2.9000000000000001E-2</c:v>
                </c:pt>
                <c:pt idx="12">
                  <c:v>2.8000000000000001E-2</c:v>
                </c:pt>
                <c:pt idx="13">
                  <c:v>7.0999999999999994E-2</c:v>
                </c:pt>
                <c:pt idx="14">
                  <c:v>4.3999999999999997E-2</c:v>
                </c:pt>
                <c:pt idx="15">
                  <c:v>2.4E-2</c:v>
                </c:pt>
                <c:pt idx="16">
                  <c:v>4.3999999999999997E-2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99-466D-9547-B29E647A0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67440"/>
        <c:axId val="114565520"/>
      </c:barChart>
      <c:catAx>
        <c:axId val="11456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565520"/>
        <c:crosses val="autoZero"/>
        <c:auto val="1"/>
        <c:lblAlgn val="ctr"/>
        <c:lblOffset val="100"/>
        <c:noMultiLvlLbl val="0"/>
      </c:catAx>
      <c:valAx>
        <c:axId val="11456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56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11. Nivel de conocimientos financieros (TEA, 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C3.2'!$B$46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C3.2'!$A$47:$A$51</c:f>
              <c:strCache>
                <c:ptCount val="5"/>
                <c:pt idx="0">
                  <c:v>Muy bajos</c:v>
                </c:pt>
                <c:pt idx="1">
                  <c:v>Bajos</c:v>
                </c:pt>
                <c:pt idx="2">
                  <c:v>Medios</c:v>
                </c:pt>
                <c:pt idx="3">
                  <c:v>Altos</c:v>
                </c:pt>
                <c:pt idx="4">
                  <c:v>Muy altos</c:v>
                </c:pt>
              </c:strCache>
            </c:strRef>
          </c:cat>
          <c:val>
            <c:numRef>
              <c:f>'APS 2025 C3.2'!$B$47:$B$51</c:f>
              <c:numCache>
                <c:formatCode>0.0%</c:formatCode>
                <c:ptCount val="5"/>
                <c:pt idx="0">
                  <c:v>3.4000000000000002E-2</c:v>
                </c:pt>
                <c:pt idx="1">
                  <c:v>0.32100000000000001</c:v>
                </c:pt>
                <c:pt idx="2">
                  <c:v>0.41599999999999998</c:v>
                </c:pt>
                <c:pt idx="3">
                  <c:v>0.14199999999999999</c:v>
                </c:pt>
                <c:pt idx="4">
                  <c:v>8.6999999999999994E-2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9-42ED-A482-34755A4DB575}"/>
            </c:ext>
          </c:extLst>
        </c:ser>
        <c:ser>
          <c:idx val="1"/>
          <c:order val="1"/>
          <c:tx>
            <c:strRef>
              <c:f>'APS 2025 C3.2'!$C$46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C3.2'!$A$47:$A$51</c:f>
              <c:strCache>
                <c:ptCount val="5"/>
                <c:pt idx="0">
                  <c:v>Muy bajos</c:v>
                </c:pt>
                <c:pt idx="1">
                  <c:v>Bajos</c:v>
                </c:pt>
                <c:pt idx="2">
                  <c:v>Medios</c:v>
                </c:pt>
                <c:pt idx="3">
                  <c:v>Altos</c:v>
                </c:pt>
                <c:pt idx="4">
                  <c:v>Muy altos</c:v>
                </c:pt>
              </c:strCache>
            </c:strRef>
          </c:cat>
          <c:val>
            <c:numRef>
              <c:f>'APS 2025 C3.2'!$C$47:$C$51</c:f>
              <c:numCache>
                <c:formatCode>0.0%</c:formatCode>
                <c:ptCount val="5"/>
                <c:pt idx="0">
                  <c:v>0.06</c:v>
                </c:pt>
                <c:pt idx="1">
                  <c:v>0.17799999999999999</c:v>
                </c:pt>
                <c:pt idx="2">
                  <c:v>0.51500000000000001</c:v>
                </c:pt>
                <c:pt idx="3">
                  <c:v>0.188</c:v>
                </c:pt>
                <c:pt idx="4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9-42ED-A482-34755A4DB575}"/>
            </c:ext>
          </c:extLst>
        </c:ser>
        <c:ser>
          <c:idx val="2"/>
          <c:order val="2"/>
          <c:tx>
            <c:strRef>
              <c:f>'APS 2025 C3.2'!$D$46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C3.2'!$A$47:$A$51</c:f>
              <c:strCache>
                <c:ptCount val="5"/>
                <c:pt idx="0">
                  <c:v>Muy bajos</c:v>
                </c:pt>
                <c:pt idx="1">
                  <c:v>Bajos</c:v>
                </c:pt>
                <c:pt idx="2">
                  <c:v>Medios</c:v>
                </c:pt>
                <c:pt idx="3">
                  <c:v>Altos</c:v>
                </c:pt>
                <c:pt idx="4">
                  <c:v>Muy altos</c:v>
                </c:pt>
              </c:strCache>
            </c:strRef>
          </c:cat>
          <c:val>
            <c:numRef>
              <c:f>'APS 2025 C3.2'!$D$47:$D$51</c:f>
              <c:numCache>
                <c:formatCode>0.0%</c:formatCode>
                <c:ptCount val="5"/>
                <c:pt idx="0">
                  <c:v>4.9000000000000002E-2</c:v>
                </c:pt>
                <c:pt idx="1">
                  <c:v>0.23699999999999999</c:v>
                </c:pt>
                <c:pt idx="2">
                  <c:v>0.47399999999999998</c:v>
                </c:pt>
                <c:pt idx="3">
                  <c:v>0.16900000000000001</c:v>
                </c:pt>
                <c:pt idx="4">
                  <c:v>7.0999999999999994E-2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29-42ED-A482-34755A4DB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562496"/>
        <c:axId val="2044546176"/>
      </c:barChart>
      <c:catAx>
        <c:axId val="204456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46176"/>
        <c:crosses val="autoZero"/>
        <c:auto val="1"/>
        <c:lblAlgn val="ctr"/>
        <c:lblOffset val="100"/>
        <c:noMultiLvlLbl val="0"/>
      </c:catAx>
      <c:valAx>
        <c:axId val="204454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6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12. Nivel de conocimientos financieros (establecidas, 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C3.2'!$B$56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C3.2'!$A$57:$A$61</c:f>
              <c:strCache>
                <c:ptCount val="5"/>
                <c:pt idx="0">
                  <c:v>Muy bajos</c:v>
                </c:pt>
                <c:pt idx="1">
                  <c:v>Bajos</c:v>
                </c:pt>
                <c:pt idx="2">
                  <c:v>Medios</c:v>
                </c:pt>
                <c:pt idx="3">
                  <c:v>Altos</c:v>
                </c:pt>
                <c:pt idx="4">
                  <c:v>Muy altos</c:v>
                </c:pt>
              </c:strCache>
            </c:strRef>
          </c:cat>
          <c:val>
            <c:numRef>
              <c:f>'APS 2025 C3.2'!$B$57:$B$61</c:f>
              <c:numCache>
                <c:formatCode>0.0%</c:formatCode>
                <c:ptCount val="5"/>
                <c:pt idx="0">
                  <c:v>8.1000000000000003E-2</c:v>
                </c:pt>
                <c:pt idx="1">
                  <c:v>0.193</c:v>
                </c:pt>
                <c:pt idx="2">
                  <c:v>0.50800000000000001</c:v>
                </c:pt>
                <c:pt idx="3">
                  <c:v>0.155</c:v>
                </c:pt>
                <c:pt idx="4">
                  <c:v>6.2E-2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9-4B02-9DB4-10856EEA3EC5}"/>
            </c:ext>
          </c:extLst>
        </c:ser>
        <c:ser>
          <c:idx val="1"/>
          <c:order val="1"/>
          <c:tx>
            <c:strRef>
              <c:f>'APS 2025 C3.2'!$C$56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C3.2'!$A$57:$A$61</c:f>
              <c:strCache>
                <c:ptCount val="5"/>
                <c:pt idx="0">
                  <c:v>Muy bajos</c:v>
                </c:pt>
                <c:pt idx="1">
                  <c:v>Bajos</c:v>
                </c:pt>
                <c:pt idx="2">
                  <c:v>Medios</c:v>
                </c:pt>
                <c:pt idx="3">
                  <c:v>Altos</c:v>
                </c:pt>
                <c:pt idx="4">
                  <c:v>Muy altos</c:v>
                </c:pt>
              </c:strCache>
            </c:strRef>
          </c:cat>
          <c:val>
            <c:numRef>
              <c:f>'APS 2025 C3.2'!$C$57:$C$61</c:f>
              <c:numCache>
                <c:formatCode>0.0%</c:formatCode>
                <c:ptCount val="5"/>
                <c:pt idx="0">
                  <c:v>9.1999999999999998E-2</c:v>
                </c:pt>
                <c:pt idx="1">
                  <c:v>0.27500000000000002</c:v>
                </c:pt>
                <c:pt idx="2">
                  <c:v>0.35499999999999998</c:v>
                </c:pt>
                <c:pt idx="3">
                  <c:v>0.17299999999999999</c:v>
                </c:pt>
                <c:pt idx="4">
                  <c:v>0.105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9-4B02-9DB4-10856EEA3EC5}"/>
            </c:ext>
          </c:extLst>
        </c:ser>
        <c:ser>
          <c:idx val="2"/>
          <c:order val="2"/>
          <c:tx>
            <c:strRef>
              <c:f>'APS 2025 C3.2'!$D$56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C3.2'!$A$57:$A$61</c:f>
              <c:strCache>
                <c:ptCount val="5"/>
                <c:pt idx="0">
                  <c:v>Muy bajos</c:v>
                </c:pt>
                <c:pt idx="1">
                  <c:v>Bajos</c:v>
                </c:pt>
                <c:pt idx="2">
                  <c:v>Medios</c:v>
                </c:pt>
                <c:pt idx="3">
                  <c:v>Altos</c:v>
                </c:pt>
                <c:pt idx="4">
                  <c:v>Muy altos</c:v>
                </c:pt>
              </c:strCache>
            </c:strRef>
          </c:cat>
          <c:val>
            <c:numRef>
              <c:f>'APS 2025 C3.2'!$D$57:$D$61</c:f>
              <c:numCache>
                <c:formatCode>0.0%</c:formatCode>
                <c:ptCount val="5"/>
                <c:pt idx="0">
                  <c:v>8.8999999999999996E-2</c:v>
                </c:pt>
                <c:pt idx="1">
                  <c:v>0.251</c:v>
                </c:pt>
                <c:pt idx="2">
                  <c:v>0.4</c:v>
                </c:pt>
                <c:pt idx="3">
                  <c:v>0.16800000000000001</c:v>
                </c:pt>
                <c:pt idx="4">
                  <c:v>9.2999999999999999E-2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9-4B02-9DB4-10856EEA3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49360"/>
        <c:axId val="143448880"/>
      </c:barChart>
      <c:catAx>
        <c:axId val="14344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448880"/>
        <c:crosses val="autoZero"/>
        <c:auto val="1"/>
        <c:lblAlgn val="ctr"/>
        <c:lblOffset val="100"/>
        <c:noMultiLvlLbl val="0"/>
      </c:catAx>
      <c:valAx>
        <c:axId val="1434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44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13. Sector de actividad de las iniciativas TEA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C3.2'!$B$65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C3.2'!$A$66:$A$69</c:f>
              <c:strCache>
                <c:ptCount val="4"/>
                <c:pt idx="0">
                  <c:v>Extractivo</c:v>
                </c:pt>
                <c:pt idx="1">
                  <c:v>Transformador</c:v>
                </c:pt>
                <c:pt idx="2">
                  <c:v>Servicos</c:v>
                </c:pt>
                <c:pt idx="3">
                  <c:v>Orientado al consumidor</c:v>
                </c:pt>
              </c:strCache>
            </c:strRef>
          </c:cat>
          <c:val>
            <c:numRef>
              <c:f>'APS 2025 C3.2'!$B$66:$B$69</c:f>
              <c:numCache>
                <c:formatCode>0.0%</c:formatCode>
                <c:ptCount val="4"/>
                <c:pt idx="0">
                  <c:v>3.4000000000000002E-2</c:v>
                </c:pt>
                <c:pt idx="1">
                  <c:v>0.23</c:v>
                </c:pt>
                <c:pt idx="2">
                  <c:v>0.20599999999999999</c:v>
                </c:pt>
                <c:pt idx="3">
                  <c:v>0.52900000000000003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B-4558-90B2-C690CC0338C2}"/>
            </c:ext>
          </c:extLst>
        </c:ser>
        <c:ser>
          <c:idx val="1"/>
          <c:order val="1"/>
          <c:tx>
            <c:strRef>
              <c:f>'APS 2025 C3.2'!$C$65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C3.2'!$A$66:$A$69</c:f>
              <c:strCache>
                <c:ptCount val="4"/>
                <c:pt idx="0">
                  <c:v>Extractivo</c:v>
                </c:pt>
                <c:pt idx="1">
                  <c:v>Transformador</c:v>
                </c:pt>
                <c:pt idx="2">
                  <c:v>Servicos</c:v>
                </c:pt>
                <c:pt idx="3">
                  <c:v>Orientado al consumidor</c:v>
                </c:pt>
              </c:strCache>
            </c:strRef>
          </c:cat>
          <c:val>
            <c:numRef>
              <c:f>'APS 2025 C3.2'!$C$66:$C$69</c:f>
              <c:numCache>
                <c:formatCode>0.0%</c:formatCode>
                <c:ptCount val="4"/>
                <c:pt idx="0">
                  <c:v>7.8E-2</c:v>
                </c:pt>
                <c:pt idx="1">
                  <c:v>0.16400000000000001</c:v>
                </c:pt>
                <c:pt idx="2">
                  <c:v>0.20499999999999999</c:v>
                </c:pt>
                <c:pt idx="3">
                  <c:v>0.55300000000000005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B-4558-90B2-C690CC0338C2}"/>
            </c:ext>
          </c:extLst>
        </c:ser>
        <c:ser>
          <c:idx val="2"/>
          <c:order val="2"/>
          <c:tx>
            <c:strRef>
              <c:f>'APS 2025 C3.2'!$D$65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C3.2'!$A$66:$A$69</c:f>
              <c:strCache>
                <c:ptCount val="4"/>
                <c:pt idx="0">
                  <c:v>Extractivo</c:v>
                </c:pt>
                <c:pt idx="1">
                  <c:v>Transformador</c:v>
                </c:pt>
                <c:pt idx="2">
                  <c:v>Servicos</c:v>
                </c:pt>
                <c:pt idx="3">
                  <c:v>Orientado al consumidor</c:v>
                </c:pt>
              </c:strCache>
            </c:strRef>
          </c:cat>
          <c:val>
            <c:numRef>
              <c:f>'APS 2025 C3.2'!$D$66:$D$69</c:f>
              <c:numCache>
                <c:formatCode>0.0%</c:formatCode>
                <c:ptCount val="4"/>
                <c:pt idx="0">
                  <c:v>0.06</c:v>
                </c:pt>
                <c:pt idx="1">
                  <c:v>0.191</c:v>
                </c:pt>
                <c:pt idx="2">
                  <c:v>0.20499999999999999</c:v>
                </c:pt>
                <c:pt idx="3">
                  <c:v>0.54300000000000004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B-4558-90B2-C690CC033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55840"/>
        <c:axId val="140248640"/>
      </c:barChart>
      <c:catAx>
        <c:axId val="1402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248640"/>
        <c:crosses val="autoZero"/>
        <c:auto val="1"/>
        <c:lblAlgn val="ctr"/>
        <c:lblOffset val="100"/>
        <c:noMultiLvlLbl val="0"/>
      </c:catAx>
      <c:valAx>
        <c:axId val="14024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25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14. Sector de actividad de las empresas establecidas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C3.2'!$B$73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C3.2'!$A$74:$A$77</c:f>
              <c:strCache>
                <c:ptCount val="4"/>
                <c:pt idx="0">
                  <c:v>Extractivo</c:v>
                </c:pt>
                <c:pt idx="1">
                  <c:v>Transformador</c:v>
                </c:pt>
                <c:pt idx="2">
                  <c:v>Servicos</c:v>
                </c:pt>
                <c:pt idx="3">
                  <c:v>Orientado al consumidor</c:v>
                </c:pt>
              </c:strCache>
            </c:strRef>
          </c:cat>
          <c:val>
            <c:numRef>
              <c:f>'APS 2025 C3.2'!$B$74:$B$77</c:f>
              <c:numCache>
                <c:formatCode>0.0%</c:formatCode>
                <c:ptCount val="4"/>
                <c:pt idx="0">
                  <c:v>0.125</c:v>
                </c:pt>
                <c:pt idx="1">
                  <c:v>0.109</c:v>
                </c:pt>
                <c:pt idx="2">
                  <c:v>0.316</c:v>
                </c:pt>
                <c:pt idx="3">
                  <c:v>0.44900000000000001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3-4B1D-96CA-D18F45037C53}"/>
            </c:ext>
          </c:extLst>
        </c:ser>
        <c:ser>
          <c:idx val="1"/>
          <c:order val="1"/>
          <c:tx>
            <c:strRef>
              <c:f>'APS 2025 C3.2'!$C$73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C3.2'!$A$74:$A$77</c:f>
              <c:strCache>
                <c:ptCount val="4"/>
                <c:pt idx="0">
                  <c:v>Extractivo</c:v>
                </c:pt>
                <c:pt idx="1">
                  <c:v>Transformador</c:v>
                </c:pt>
                <c:pt idx="2">
                  <c:v>Servicos</c:v>
                </c:pt>
                <c:pt idx="3">
                  <c:v>Orientado al consumidor</c:v>
                </c:pt>
              </c:strCache>
            </c:strRef>
          </c:cat>
          <c:val>
            <c:numRef>
              <c:f>'APS 2025 C3.2'!$C$74:$C$77</c:f>
              <c:numCache>
                <c:formatCode>0.0%</c:formatCode>
                <c:ptCount val="4"/>
                <c:pt idx="0">
                  <c:v>9.9000000000000005E-2</c:v>
                </c:pt>
                <c:pt idx="1">
                  <c:v>0.17799999999999999</c:v>
                </c:pt>
                <c:pt idx="2">
                  <c:v>0.248</c:v>
                </c:pt>
                <c:pt idx="3">
                  <c:v>0.47499999999999998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3-4B1D-96CA-D18F45037C53}"/>
            </c:ext>
          </c:extLst>
        </c:ser>
        <c:ser>
          <c:idx val="2"/>
          <c:order val="2"/>
          <c:tx>
            <c:strRef>
              <c:f>'APS 2025 C3.2'!$D$73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C3.2'!$A$74:$A$77</c:f>
              <c:strCache>
                <c:ptCount val="4"/>
                <c:pt idx="0">
                  <c:v>Extractivo</c:v>
                </c:pt>
                <c:pt idx="1">
                  <c:v>Transformador</c:v>
                </c:pt>
                <c:pt idx="2">
                  <c:v>Servicos</c:v>
                </c:pt>
                <c:pt idx="3">
                  <c:v>Orientado al consumidor</c:v>
                </c:pt>
              </c:strCache>
            </c:strRef>
          </c:cat>
          <c:val>
            <c:numRef>
              <c:f>'APS 2025 C3.2'!$D$74:$D$77</c:f>
              <c:numCache>
                <c:formatCode>0.0%</c:formatCode>
                <c:ptCount val="4"/>
                <c:pt idx="0">
                  <c:v>0.107</c:v>
                </c:pt>
                <c:pt idx="1">
                  <c:v>0.158</c:v>
                </c:pt>
                <c:pt idx="2">
                  <c:v>0.26800000000000002</c:v>
                </c:pt>
                <c:pt idx="3">
                  <c:v>0.46700000000000003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3-4B1D-96CA-D18F45037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50080"/>
        <c:axId val="140246720"/>
      </c:barChart>
      <c:catAx>
        <c:axId val="14025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246720"/>
        <c:crosses val="autoZero"/>
        <c:auto val="1"/>
        <c:lblAlgn val="ctr"/>
        <c:lblOffset val="100"/>
        <c:noMultiLvlLbl val="0"/>
      </c:catAx>
      <c:valAx>
        <c:axId val="1402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25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15. Empleo actual en iniciativas TEA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C3.2'!$D$81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C3.2'!$A$82:$A$85</c:f>
              <c:strCache>
                <c:ptCount val="4"/>
                <c:pt idx="0">
                  <c:v>Sin empleo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C3.2'!$D$82:$D$85</c:f>
              <c:numCache>
                <c:formatCode>0.0%</c:formatCode>
                <c:ptCount val="4"/>
                <c:pt idx="0">
                  <c:v>0.54200000000000004</c:v>
                </c:pt>
                <c:pt idx="1">
                  <c:v>0.35899999999999999</c:v>
                </c:pt>
                <c:pt idx="2">
                  <c:v>0.08</c:v>
                </c:pt>
                <c:pt idx="3">
                  <c:v>1.9E-2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D-4A14-9443-C6254075E6EE}"/>
            </c:ext>
          </c:extLst>
        </c:ser>
        <c:ser>
          <c:idx val="1"/>
          <c:order val="1"/>
          <c:tx>
            <c:strRef>
              <c:f>'APS 2025 C3.2'!$B$81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C3.2'!$A$82:$A$85</c:f>
              <c:strCache>
                <c:ptCount val="4"/>
                <c:pt idx="0">
                  <c:v>Sin empleo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C3.2'!$B$82:$B$85</c:f>
              <c:numCache>
                <c:formatCode>0.0%</c:formatCode>
                <c:ptCount val="4"/>
                <c:pt idx="0">
                  <c:v>0.54</c:v>
                </c:pt>
                <c:pt idx="1">
                  <c:v>0.30599999999999999</c:v>
                </c:pt>
                <c:pt idx="2">
                  <c:v>0.111</c:v>
                </c:pt>
                <c:pt idx="3">
                  <c:v>4.3999999999999997E-2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9D-4A14-9443-C6254075E6EE}"/>
            </c:ext>
          </c:extLst>
        </c:ser>
        <c:ser>
          <c:idx val="2"/>
          <c:order val="2"/>
          <c:tx>
            <c:strRef>
              <c:f>'APS 2025 C3.2'!$C$81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C3.2'!$A$82:$A$85</c:f>
              <c:strCache>
                <c:ptCount val="4"/>
                <c:pt idx="0">
                  <c:v>Sin empleo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C3.2'!$C$82:$C$85</c:f>
              <c:numCache>
                <c:formatCode>0.0%</c:formatCode>
                <c:ptCount val="4"/>
                <c:pt idx="0">
                  <c:v>0.54300000000000004</c:v>
                </c:pt>
                <c:pt idx="1">
                  <c:v>0.4</c:v>
                </c:pt>
                <c:pt idx="2">
                  <c:v>5.7000000000000002E-2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9D-4A14-9443-C6254075E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3966336"/>
        <c:axId val="133966816"/>
      </c:barChart>
      <c:catAx>
        <c:axId val="1339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966816"/>
        <c:crosses val="autoZero"/>
        <c:auto val="1"/>
        <c:lblAlgn val="ctr"/>
        <c:lblOffset val="100"/>
        <c:noMultiLvlLbl val="0"/>
      </c:catAx>
      <c:valAx>
        <c:axId val="13396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9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16. Empleo actual en empresas establecidas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C3.2'!$B$89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C3.2'!$A$90:$A$93</c:f>
              <c:strCache>
                <c:ptCount val="4"/>
                <c:pt idx="0">
                  <c:v>Sin empleo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C3.2'!$B$90:$B$93</c:f>
              <c:numCache>
                <c:formatCode>0.0%</c:formatCode>
                <c:ptCount val="4"/>
                <c:pt idx="0">
                  <c:v>0.55600000000000005</c:v>
                </c:pt>
                <c:pt idx="1">
                  <c:v>0.34399999999999997</c:v>
                </c:pt>
                <c:pt idx="2">
                  <c:v>3.4000000000000002E-2</c:v>
                </c:pt>
                <c:pt idx="3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B-438A-AB3E-0AAB7AEA8A06}"/>
            </c:ext>
          </c:extLst>
        </c:ser>
        <c:ser>
          <c:idx val="1"/>
          <c:order val="1"/>
          <c:tx>
            <c:strRef>
              <c:f>'APS 2025 C3.2'!$C$89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C3.2'!$A$90:$A$93</c:f>
              <c:strCache>
                <c:ptCount val="4"/>
                <c:pt idx="0">
                  <c:v>Sin empleo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C3.2'!$C$90:$C$93</c:f>
              <c:numCache>
                <c:formatCode>0.0%</c:formatCode>
                <c:ptCount val="4"/>
                <c:pt idx="0">
                  <c:v>0.46200000000000002</c:v>
                </c:pt>
                <c:pt idx="1">
                  <c:v>0.41399999999999998</c:v>
                </c:pt>
                <c:pt idx="2">
                  <c:v>7.2999999999999995E-2</c:v>
                </c:pt>
                <c:pt idx="3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B-438A-AB3E-0AAB7AEA8A06}"/>
            </c:ext>
          </c:extLst>
        </c:ser>
        <c:ser>
          <c:idx val="2"/>
          <c:order val="2"/>
          <c:tx>
            <c:strRef>
              <c:f>'APS 2025 C3.2'!$D$89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C3.2'!$A$90:$A$93</c:f>
              <c:strCache>
                <c:ptCount val="4"/>
                <c:pt idx="0">
                  <c:v>Sin empleo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C3.2'!$D$90:$D$93</c:f>
              <c:numCache>
                <c:formatCode>0.0%</c:formatCode>
                <c:ptCount val="4"/>
                <c:pt idx="0">
                  <c:v>0.48899999999999999</c:v>
                </c:pt>
                <c:pt idx="1">
                  <c:v>0.39300000000000002</c:v>
                </c:pt>
                <c:pt idx="2">
                  <c:v>6.0999999999999999E-2</c:v>
                </c:pt>
                <c:pt idx="3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3B-438A-AB3E-0AAB7AEA8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574496"/>
        <c:axId val="2044589376"/>
      </c:barChart>
      <c:catAx>
        <c:axId val="204457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89376"/>
        <c:crosses val="autoZero"/>
        <c:auto val="1"/>
        <c:lblAlgn val="ctr"/>
        <c:lblOffset val="100"/>
        <c:noMultiLvlLbl val="0"/>
      </c:catAx>
      <c:valAx>
        <c:axId val="204458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457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17. Empleos creados en los últimos 12 meses (TEA, 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C3.2'!$B$98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C3.2'!$A$99:$A$102</c:f>
              <c:strCache>
                <c:ptCount val="4"/>
                <c:pt idx="0">
                  <c:v>0 empleos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C3.2'!$B$99:$B$102</c:f>
              <c:numCache>
                <c:formatCode>0.0%</c:formatCode>
                <c:ptCount val="4"/>
                <c:pt idx="0">
                  <c:v>0.72599999999999998</c:v>
                </c:pt>
                <c:pt idx="1">
                  <c:v>0.222</c:v>
                </c:pt>
                <c:pt idx="2">
                  <c:v>5.1999999999999998E-2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E-45A6-B047-D18862F79F7D}"/>
            </c:ext>
          </c:extLst>
        </c:ser>
        <c:ser>
          <c:idx val="1"/>
          <c:order val="1"/>
          <c:tx>
            <c:strRef>
              <c:f>'APS 2025 C3.2'!$C$98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C3.2'!$A$99:$A$102</c:f>
              <c:strCache>
                <c:ptCount val="4"/>
                <c:pt idx="0">
                  <c:v>0 empleos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C3.2'!$C$99:$C$102</c:f>
              <c:numCache>
                <c:formatCode>0.0%</c:formatCode>
                <c:ptCount val="4"/>
                <c:pt idx="0">
                  <c:v>0.68600000000000005</c:v>
                </c:pt>
                <c:pt idx="1">
                  <c:v>0.25700000000000001</c:v>
                </c:pt>
                <c:pt idx="2">
                  <c:v>5.7000000000000002E-2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9E-45A6-B047-D18862F79F7D}"/>
            </c:ext>
          </c:extLst>
        </c:ser>
        <c:ser>
          <c:idx val="2"/>
          <c:order val="2"/>
          <c:tx>
            <c:strRef>
              <c:f>'APS 2025 C3.2'!$D$98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C3.2'!$A$99:$A$102</c:f>
              <c:strCache>
                <c:ptCount val="4"/>
                <c:pt idx="0">
                  <c:v>0 empleos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C3.2'!$D$99:$D$102</c:f>
              <c:numCache>
                <c:formatCode>0.0%</c:formatCode>
                <c:ptCount val="4"/>
                <c:pt idx="0">
                  <c:v>0.67200000000000004</c:v>
                </c:pt>
                <c:pt idx="1">
                  <c:v>0.28000000000000003</c:v>
                </c:pt>
                <c:pt idx="2">
                  <c:v>4.1000000000000002E-2</c:v>
                </c:pt>
                <c:pt idx="3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9E-45A6-B047-D18862F79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257088"/>
        <c:axId val="327250848"/>
      </c:barChart>
      <c:catAx>
        <c:axId val="3272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7250848"/>
        <c:crosses val="autoZero"/>
        <c:auto val="1"/>
        <c:lblAlgn val="ctr"/>
        <c:lblOffset val="100"/>
        <c:noMultiLvlLbl val="0"/>
      </c:catAx>
      <c:valAx>
        <c:axId val="3272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72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18. Empleos creados en los últimos 12 meses (establecidas, 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C3.2'!$B$107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C3.2'!$A$108:$A$111</c:f>
              <c:strCache>
                <c:ptCount val="4"/>
                <c:pt idx="0">
                  <c:v>0 empleos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C3.2'!$B$108:$B$111</c:f>
              <c:numCache>
                <c:formatCode>0.0%</c:formatCode>
                <c:ptCount val="4"/>
                <c:pt idx="0">
                  <c:v>0.625</c:v>
                </c:pt>
                <c:pt idx="1">
                  <c:v>0.25</c:v>
                </c:pt>
                <c:pt idx="2">
                  <c:v>6.3E-2</c:v>
                </c:pt>
                <c:pt idx="3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E-47F0-8FDF-FC791BEE503D}"/>
            </c:ext>
          </c:extLst>
        </c:ser>
        <c:ser>
          <c:idx val="1"/>
          <c:order val="1"/>
          <c:tx>
            <c:strRef>
              <c:f>'APS 2025 C3.2'!$C$107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C3.2'!$A$108:$A$111</c:f>
              <c:strCache>
                <c:ptCount val="4"/>
                <c:pt idx="0">
                  <c:v>0 empleos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C3.2'!$C$108:$C$111</c:f>
              <c:numCache>
                <c:formatCode>0.0%</c:formatCode>
                <c:ptCount val="4"/>
                <c:pt idx="0">
                  <c:v>0.56399999999999995</c:v>
                </c:pt>
                <c:pt idx="1">
                  <c:v>0.308</c:v>
                </c:pt>
                <c:pt idx="2">
                  <c:v>7.6999999999999999E-2</c:v>
                </c:pt>
                <c:pt idx="3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2E-47F0-8FDF-FC791BEE503D}"/>
            </c:ext>
          </c:extLst>
        </c:ser>
        <c:ser>
          <c:idx val="2"/>
          <c:order val="2"/>
          <c:tx>
            <c:strRef>
              <c:f>'APS 2025 C3.2'!$D$107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C3.2'!$A$108:$A$111</c:f>
              <c:strCache>
                <c:ptCount val="4"/>
                <c:pt idx="0">
                  <c:v>0 empleos</c:v>
                </c:pt>
                <c:pt idx="1">
                  <c:v>1-5 empleos</c:v>
                </c:pt>
                <c:pt idx="2">
                  <c:v>6-19 empleos</c:v>
                </c:pt>
                <c:pt idx="3">
                  <c:v>20+ empleos</c:v>
                </c:pt>
              </c:strCache>
            </c:strRef>
          </c:cat>
          <c:val>
            <c:numRef>
              <c:f>'APS 2025 C3.2'!$D$108:$D$111</c:f>
              <c:numCache>
                <c:formatCode>0.0%</c:formatCode>
                <c:ptCount val="4"/>
                <c:pt idx="0">
                  <c:v>0.61199999999999999</c:v>
                </c:pt>
                <c:pt idx="1">
                  <c:v>0.34</c:v>
                </c:pt>
                <c:pt idx="2">
                  <c:v>3.4000000000000002E-2</c:v>
                </c:pt>
                <c:pt idx="3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2E-47F0-8FDF-FC791BEE5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74240"/>
        <c:axId val="187873280"/>
      </c:barChart>
      <c:catAx>
        <c:axId val="18787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873280"/>
        <c:crosses val="autoZero"/>
        <c:auto val="1"/>
        <c:lblAlgn val="ctr"/>
        <c:lblOffset val="100"/>
        <c:noMultiLvlLbl val="0"/>
      </c:catAx>
      <c:valAx>
        <c:axId val="1878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87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19. Forma jurídica de las iniciativas TEA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C3.2'!$B$115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C3.2'!$A$116:$A$119</c:f>
              <c:strCache>
                <c:ptCount val="4"/>
                <c:pt idx="0">
                  <c:v>Empresario individual / autónomo</c:v>
                </c:pt>
                <c:pt idx="1">
                  <c:v>Sociedad limitada</c:v>
                </c:pt>
                <c:pt idx="2">
                  <c:v>Sociedad anónima</c:v>
                </c:pt>
                <c:pt idx="3">
                  <c:v>Otras formas jurídicas</c:v>
                </c:pt>
              </c:strCache>
            </c:strRef>
          </c:cat>
          <c:val>
            <c:numRef>
              <c:f>'APS 2025 C3.2'!$B$116:$B$119</c:f>
              <c:numCache>
                <c:formatCode>0.0%</c:formatCode>
                <c:ptCount val="4"/>
                <c:pt idx="0">
                  <c:v>0.81299999999999994</c:v>
                </c:pt>
                <c:pt idx="1">
                  <c:v>0.125</c:v>
                </c:pt>
                <c:pt idx="2">
                  <c:v>0</c:v>
                </c:pt>
                <c:pt idx="3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3-46B1-B42F-047426CD188C}"/>
            </c:ext>
          </c:extLst>
        </c:ser>
        <c:ser>
          <c:idx val="1"/>
          <c:order val="1"/>
          <c:tx>
            <c:strRef>
              <c:f>'APS 2025 C3.2'!$C$115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C3.2'!$A$116:$A$119</c:f>
              <c:strCache>
                <c:ptCount val="4"/>
                <c:pt idx="0">
                  <c:v>Empresario individual / autónomo</c:v>
                </c:pt>
                <c:pt idx="1">
                  <c:v>Sociedad limitada</c:v>
                </c:pt>
                <c:pt idx="2">
                  <c:v>Sociedad anónima</c:v>
                </c:pt>
                <c:pt idx="3">
                  <c:v>Otras formas jurídicas</c:v>
                </c:pt>
              </c:strCache>
            </c:strRef>
          </c:cat>
          <c:val>
            <c:numRef>
              <c:f>'APS 2025 C3.2'!$C$116:$C$119</c:f>
              <c:numCache>
                <c:formatCode>0.0%</c:formatCode>
                <c:ptCount val="4"/>
                <c:pt idx="0">
                  <c:v>0.76500000000000001</c:v>
                </c:pt>
                <c:pt idx="1">
                  <c:v>0.184</c:v>
                </c:pt>
                <c:pt idx="2">
                  <c:v>0.01</c:v>
                </c:pt>
                <c:pt idx="3">
                  <c:v>4.1000000000000002E-2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3-46B1-B42F-047426CD188C}"/>
            </c:ext>
          </c:extLst>
        </c:ser>
        <c:ser>
          <c:idx val="2"/>
          <c:order val="2"/>
          <c:tx>
            <c:strRef>
              <c:f>'APS 2025 C3.2'!$D$115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C3.2'!$A$116:$A$119</c:f>
              <c:strCache>
                <c:ptCount val="4"/>
                <c:pt idx="0">
                  <c:v>Empresario individual / autónomo</c:v>
                </c:pt>
                <c:pt idx="1">
                  <c:v>Sociedad limitada</c:v>
                </c:pt>
                <c:pt idx="2">
                  <c:v>Sociedad anónima</c:v>
                </c:pt>
                <c:pt idx="3">
                  <c:v>Otras formas jurídicas</c:v>
                </c:pt>
              </c:strCache>
            </c:strRef>
          </c:cat>
          <c:val>
            <c:numRef>
              <c:f>'APS 2025 C3.2'!$D$116:$D$119</c:f>
              <c:numCache>
                <c:formatCode>0.0%</c:formatCode>
                <c:ptCount val="4"/>
                <c:pt idx="0">
                  <c:v>0.48699999999999999</c:v>
                </c:pt>
                <c:pt idx="1">
                  <c:v>0.223</c:v>
                </c:pt>
                <c:pt idx="2">
                  <c:v>5.3999999999999999E-2</c:v>
                </c:pt>
                <c:pt idx="3">
                  <c:v>0.23599999999999999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23-46B1-B42F-047426CD1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20480"/>
        <c:axId val="188021920"/>
      </c:barChart>
      <c:catAx>
        <c:axId val="1880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021920"/>
        <c:crosses val="autoZero"/>
        <c:auto val="1"/>
        <c:lblAlgn val="ctr"/>
        <c:lblOffset val="100"/>
        <c:noMultiLvlLbl val="0"/>
      </c:catAx>
      <c:valAx>
        <c:axId val="1880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0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20. Forma jurídica de las empresas establecidas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C3.2'!$B$124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C3.2'!$A$125:$A$128</c:f>
              <c:strCache>
                <c:ptCount val="4"/>
                <c:pt idx="0">
                  <c:v>Empresario individual / autónomo</c:v>
                </c:pt>
                <c:pt idx="1">
                  <c:v>Sociedad limitada</c:v>
                </c:pt>
                <c:pt idx="2">
                  <c:v>Sociedad anónima</c:v>
                </c:pt>
                <c:pt idx="3">
                  <c:v>Otras formas jurídicas</c:v>
                </c:pt>
              </c:strCache>
            </c:strRef>
          </c:cat>
          <c:val>
            <c:numRef>
              <c:f>'APS 2025 C3.2'!$B$125:$B$128</c:f>
              <c:numCache>
                <c:formatCode>0.0%</c:formatCode>
                <c:ptCount val="4"/>
                <c:pt idx="0">
                  <c:v>0.625</c:v>
                </c:pt>
                <c:pt idx="1">
                  <c:v>0.313</c:v>
                </c:pt>
                <c:pt idx="2">
                  <c:v>0</c:v>
                </c:pt>
                <c:pt idx="3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B-4373-BC7F-F83E874E1B20}"/>
            </c:ext>
          </c:extLst>
        </c:ser>
        <c:ser>
          <c:idx val="1"/>
          <c:order val="1"/>
          <c:tx>
            <c:strRef>
              <c:f>'APS 2025 C3.2'!$C$124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C3.2'!$A$125:$A$128</c:f>
              <c:strCache>
                <c:ptCount val="4"/>
                <c:pt idx="0">
                  <c:v>Empresario individual / autónomo</c:v>
                </c:pt>
                <c:pt idx="1">
                  <c:v>Sociedad limitada</c:v>
                </c:pt>
                <c:pt idx="2">
                  <c:v>Sociedad anónima</c:v>
                </c:pt>
                <c:pt idx="3">
                  <c:v>Otras formas jurídicas</c:v>
                </c:pt>
              </c:strCache>
            </c:strRef>
          </c:cat>
          <c:val>
            <c:numRef>
              <c:f>'APS 2025 C3.2'!$C$125:$C$128</c:f>
              <c:numCache>
                <c:formatCode>0.0%</c:formatCode>
                <c:ptCount val="4"/>
                <c:pt idx="0">
                  <c:v>0.58899999999999997</c:v>
                </c:pt>
                <c:pt idx="1">
                  <c:v>0.33300000000000002</c:v>
                </c:pt>
                <c:pt idx="2">
                  <c:v>2.5999999999999999E-2</c:v>
                </c:pt>
                <c:pt idx="3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B-4373-BC7F-F83E874E1B20}"/>
            </c:ext>
          </c:extLst>
        </c:ser>
        <c:ser>
          <c:idx val="2"/>
          <c:order val="2"/>
          <c:tx>
            <c:strRef>
              <c:f>'APS 2025 C3.2'!$D$124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C3.2'!$A$125:$A$128</c:f>
              <c:strCache>
                <c:ptCount val="4"/>
                <c:pt idx="0">
                  <c:v>Empresario individual / autónomo</c:v>
                </c:pt>
                <c:pt idx="1">
                  <c:v>Sociedad limitada</c:v>
                </c:pt>
                <c:pt idx="2">
                  <c:v>Sociedad anónima</c:v>
                </c:pt>
                <c:pt idx="3">
                  <c:v>Otras formas jurídicas</c:v>
                </c:pt>
              </c:strCache>
            </c:strRef>
          </c:cat>
          <c:val>
            <c:numRef>
              <c:f>'APS 2025 C3.2'!$D$125:$D$128</c:f>
              <c:numCache>
                <c:formatCode>0.0%</c:formatCode>
                <c:ptCount val="4"/>
                <c:pt idx="0">
                  <c:v>0.73</c:v>
                </c:pt>
                <c:pt idx="1">
                  <c:v>0.16800000000000001</c:v>
                </c:pt>
                <c:pt idx="2">
                  <c:v>1.6E-2</c:v>
                </c:pt>
                <c:pt idx="3">
                  <c:v>8.5999999999999993E-2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3B-4373-BC7F-F83E874E1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241504"/>
        <c:axId val="344239584"/>
      </c:barChart>
      <c:catAx>
        <c:axId val="34424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4239584"/>
        <c:crosses val="autoZero"/>
        <c:auto val="1"/>
        <c:lblAlgn val="ctr"/>
        <c:lblOffset val="100"/>
        <c:noMultiLvlLbl val="0"/>
      </c:catAx>
      <c:valAx>
        <c:axId val="3442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424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21. Intensidad exportadora en iniciativas TEA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C3.2'!$B$132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C3.2'!$A$133:$A$136</c:f>
              <c:strCache>
                <c:ptCount val="4"/>
                <c:pt idx="0">
                  <c:v>No exporta</c:v>
                </c:pt>
                <c:pt idx="1">
                  <c:v>1-25% clientes internacionales</c:v>
                </c:pt>
                <c:pt idx="2">
                  <c:v>26-75% clientes internacionales</c:v>
                </c:pt>
                <c:pt idx="3">
                  <c:v>Más del 75%</c:v>
                </c:pt>
              </c:strCache>
            </c:strRef>
          </c:cat>
          <c:val>
            <c:numRef>
              <c:f>'APS 2025 C3.2'!$B$133:$B$136</c:f>
              <c:numCache>
                <c:formatCode>0.0%</c:formatCode>
                <c:ptCount val="4"/>
                <c:pt idx="0">
                  <c:v>0.75</c:v>
                </c:pt>
                <c:pt idx="1">
                  <c:v>0.188</c:v>
                </c:pt>
                <c:pt idx="2">
                  <c:v>6.3E-2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7-4F7D-AFAD-C76FDE3092D9}"/>
            </c:ext>
          </c:extLst>
        </c:ser>
        <c:ser>
          <c:idx val="1"/>
          <c:order val="1"/>
          <c:tx>
            <c:strRef>
              <c:f>'APS 2025 C3.2'!$C$132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C3.2'!$A$133:$A$136</c:f>
              <c:strCache>
                <c:ptCount val="4"/>
                <c:pt idx="0">
                  <c:v>No exporta</c:v>
                </c:pt>
                <c:pt idx="1">
                  <c:v>1-25% clientes internacionales</c:v>
                </c:pt>
                <c:pt idx="2">
                  <c:v>26-75% clientes internacionales</c:v>
                </c:pt>
                <c:pt idx="3">
                  <c:v>Más del 75%</c:v>
                </c:pt>
              </c:strCache>
            </c:strRef>
          </c:cat>
          <c:val>
            <c:numRef>
              <c:f>'APS 2025 C3.2'!$C$133:$C$136</c:f>
              <c:numCache>
                <c:formatCode>0.0%</c:formatCode>
                <c:ptCount val="4"/>
                <c:pt idx="0">
                  <c:v>0.78600000000000003</c:v>
                </c:pt>
                <c:pt idx="1">
                  <c:v>0.17100000000000001</c:v>
                </c:pt>
                <c:pt idx="2">
                  <c:v>4.2999999999999997E-2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7-4F7D-AFAD-C76FDE3092D9}"/>
            </c:ext>
          </c:extLst>
        </c:ser>
        <c:ser>
          <c:idx val="2"/>
          <c:order val="2"/>
          <c:tx>
            <c:strRef>
              <c:f>'APS 2025 C3.2'!$D$132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C3.2'!$A$133:$A$136</c:f>
              <c:strCache>
                <c:ptCount val="4"/>
                <c:pt idx="0">
                  <c:v>No exporta</c:v>
                </c:pt>
                <c:pt idx="1">
                  <c:v>1-25% clientes internacionales</c:v>
                </c:pt>
                <c:pt idx="2">
                  <c:v>26-75% clientes internacionales</c:v>
                </c:pt>
                <c:pt idx="3">
                  <c:v>Más del 75%</c:v>
                </c:pt>
              </c:strCache>
            </c:strRef>
          </c:cat>
          <c:val>
            <c:numRef>
              <c:f>'APS 2025 C3.2'!$D$133:$D$136</c:f>
              <c:numCache>
                <c:formatCode>0.0%</c:formatCode>
                <c:ptCount val="4"/>
                <c:pt idx="0">
                  <c:v>0.78200000000000003</c:v>
                </c:pt>
                <c:pt idx="1">
                  <c:v>0.11600000000000001</c:v>
                </c:pt>
                <c:pt idx="2">
                  <c:v>7.1999999999999995E-2</c:v>
                </c:pt>
                <c:pt idx="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87-4F7D-AFAD-C76FDE309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15920"/>
        <c:axId val="163513040"/>
      </c:barChart>
      <c:catAx>
        <c:axId val="16351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513040"/>
        <c:crosses val="autoZero"/>
        <c:auto val="1"/>
        <c:lblAlgn val="ctr"/>
        <c:lblOffset val="100"/>
        <c:noMultiLvlLbl val="0"/>
      </c:catAx>
      <c:valAx>
        <c:axId val="16351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51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22. Intensidad exportadora en empresas establecidas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C3.2'!$B$141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C3.2'!$A$142:$A$145</c:f>
              <c:strCache>
                <c:ptCount val="4"/>
                <c:pt idx="0">
                  <c:v>No exporta</c:v>
                </c:pt>
                <c:pt idx="1">
                  <c:v>1-25% clientes internacionales</c:v>
                </c:pt>
                <c:pt idx="2">
                  <c:v>26-75% clientes internacionales</c:v>
                </c:pt>
                <c:pt idx="3">
                  <c:v>Más del 75%</c:v>
                </c:pt>
              </c:strCache>
            </c:strRef>
          </c:cat>
          <c:val>
            <c:numRef>
              <c:f>'APS 2025 C3.2'!$B$142:$B$145</c:f>
              <c:numCache>
                <c:formatCode>0.0%</c:formatCode>
                <c:ptCount val="4"/>
                <c:pt idx="0">
                  <c:v>0.68799999999999994</c:v>
                </c:pt>
                <c:pt idx="1">
                  <c:v>0.188</c:v>
                </c:pt>
                <c:pt idx="2">
                  <c:v>6.3E-2</c:v>
                </c:pt>
                <c:pt idx="3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3-4883-92B0-1F0F0AAD910F}"/>
            </c:ext>
          </c:extLst>
        </c:ser>
        <c:ser>
          <c:idx val="1"/>
          <c:order val="1"/>
          <c:tx>
            <c:strRef>
              <c:f>'APS 2025 C3.2'!$C$141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C3.2'!$A$142:$A$145</c:f>
              <c:strCache>
                <c:ptCount val="4"/>
                <c:pt idx="0">
                  <c:v>No exporta</c:v>
                </c:pt>
                <c:pt idx="1">
                  <c:v>1-25% clientes internacionales</c:v>
                </c:pt>
                <c:pt idx="2">
                  <c:v>26-75% clientes internacionales</c:v>
                </c:pt>
                <c:pt idx="3">
                  <c:v>Más del 75%</c:v>
                </c:pt>
              </c:strCache>
            </c:strRef>
          </c:cat>
          <c:val>
            <c:numRef>
              <c:f>'APS 2025 C3.2'!$C$142:$C$145</c:f>
              <c:numCache>
                <c:formatCode>0.0%</c:formatCode>
                <c:ptCount val="4"/>
                <c:pt idx="0">
                  <c:v>0.64100000000000001</c:v>
                </c:pt>
                <c:pt idx="1">
                  <c:v>0.23100000000000001</c:v>
                </c:pt>
                <c:pt idx="2">
                  <c:v>7.6999999999999999E-2</c:v>
                </c:pt>
                <c:pt idx="3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3-4883-92B0-1F0F0AAD910F}"/>
            </c:ext>
          </c:extLst>
        </c:ser>
        <c:ser>
          <c:idx val="2"/>
          <c:order val="2"/>
          <c:tx>
            <c:strRef>
              <c:f>'APS 2025 C3.2'!$D$141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C3.2'!$A$142:$A$145</c:f>
              <c:strCache>
                <c:ptCount val="4"/>
                <c:pt idx="0">
                  <c:v>No exporta</c:v>
                </c:pt>
                <c:pt idx="1">
                  <c:v>1-25% clientes internacionales</c:v>
                </c:pt>
                <c:pt idx="2">
                  <c:v>26-75% clientes internacionales</c:v>
                </c:pt>
                <c:pt idx="3">
                  <c:v>Más del 75%</c:v>
                </c:pt>
              </c:strCache>
            </c:strRef>
          </c:cat>
          <c:val>
            <c:numRef>
              <c:f>'APS 2025 C3.2'!$D$142:$D$145</c:f>
              <c:numCache>
                <c:formatCode>0.0%</c:formatCode>
                <c:ptCount val="4"/>
                <c:pt idx="0">
                  <c:v>0.82399999999999995</c:v>
                </c:pt>
                <c:pt idx="1">
                  <c:v>0.13600000000000001</c:v>
                </c:pt>
                <c:pt idx="2">
                  <c:v>2.1999999999999999E-2</c:v>
                </c:pt>
                <c:pt idx="3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3-4883-92B0-1F0F0AAD9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19280"/>
        <c:axId val="163512080"/>
      </c:barChart>
      <c:catAx>
        <c:axId val="16351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512080"/>
        <c:crosses val="autoZero"/>
        <c:auto val="1"/>
        <c:lblAlgn val="ctr"/>
        <c:lblOffset val="100"/>
        <c:noMultiLvlLbl val="0"/>
      </c:catAx>
      <c:valAx>
        <c:axId val="16351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5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23. Nivel tecnológico del sector en iniciativas TEA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C4'!$A$4</c:f>
              <c:strCache>
                <c:ptCount val="1"/>
                <c:pt idx="0">
                  <c:v>Bajo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C4'!$B$3:$D$3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C4'!$B$4:$D$4</c:f>
              <c:numCache>
                <c:formatCode>0.00%</c:formatCode>
                <c:ptCount val="3"/>
                <c:pt idx="0">
                  <c:v>0.68799999999999994</c:v>
                </c:pt>
                <c:pt idx="1">
                  <c:v>0.7</c:v>
                </c:pt>
                <c:pt idx="2">
                  <c:v>0.93600000000000005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0-4184-B55F-C2C8924AB329}"/>
            </c:ext>
          </c:extLst>
        </c:ser>
        <c:ser>
          <c:idx val="1"/>
          <c:order val="1"/>
          <c:tx>
            <c:strRef>
              <c:f>'APS 2025 C4'!$A$5</c:f>
              <c:strCache>
                <c:ptCount val="1"/>
                <c:pt idx="0">
                  <c:v>Medio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C4'!$B$3:$D$3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C4'!$B$5:$D$5</c:f>
              <c:numCache>
                <c:formatCode>0.00%</c:formatCode>
                <c:ptCount val="3"/>
                <c:pt idx="0">
                  <c:v>0.25</c:v>
                </c:pt>
                <c:pt idx="1">
                  <c:v>0.24299999999999999</c:v>
                </c:pt>
                <c:pt idx="2">
                  <c:v>4.5999999999999999E-2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0-4184-B55F-C2C8924AB329}"/>
            </c:ext>
          </c:extLst>
        </c:ser>
        <c:ser>
          <c:idx val="2"/>
          <c:order val="2"/>
          <c:tx>
            <c:strRef>
              <c:f>'APS 2025 C4'!$A$6</c:f>
              <c:strCache>
                <c:ptCount val="1"/>
                <c:pt idx="0">
                  <c:v>Alto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C4'!$B$3:$D$3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C4'!$B$6:$D$6</c:f>
              <c:numCache>
                <c:formatCode>0.00%</c:formatCode>
                <c:ptCount val="3"/>
                <c:pt idx="0">
                  <c:v>6.3E-2</c:v>
                </c:pt>
                <c:pt idx="1">
                  <c:v>5.7000000000000002E-2</c:v>
                </c:pt>
                <c:pt idx="2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B0-4184-B55F-C2C8924AB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16880"/>
        <c:axId val="163517360"/>
      </c:barChart>
      <c:catAx>
        <c:axId val="16351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517360"/>
        <c:crosses val="autoZero"/>
        <c:auto val="1"/>
        <c:lblAlgn val="ctr"/>
        <c:lblOffset val="100"/>
        <c:noMultiLvlLbl val="0"/>
      </c:catAx>
      <c:valAx>
        <c:axId val="16351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51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24. Nivel tecnológico del sector en empresas establecidas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C4'!$A$12</c:f>
              <c:strCache>
                <c:ptCount val="1"/>
                <c:pt idx="0">
                  <c:v>Bajo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C4'!$B$11:$D$11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C4'!$B$12:$D$12</c:f>
              <c:numCache>
                <c:formatCode>0.00%</c:formatCode>
                <c:ptCount val="3"/>
                <c:pt idx="0">
                  <c:v>0.625</c:v>
                </c:pt>
                <c:pt idx="1">
                  <c:v>0.61499999999999999</c:v>
                </c:pt>
                <c:pt idx="2">
                  <c:v>0.88800000000000001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5-4151-AE5B-DB5B14845D24}"/>
            </c:ext>
          </c:extLst>
        </c:ser>
        <c:ser>
          <c:idx val="1"/>
          <c:order val="1"/>
          <c:tx>
            <c:strRef>
              <c:f>'APS 2025 C4'!$A$13</c:f>
              <c:strCache>
                <c:ptCount val="1"/>
                <c:pt idx="0">
                  <c:v>Medio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C4'!$B$11:$D$11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C4'!$B$13:$D$13</c:f>
              <c:numCache>
                <c:formatCode>0.00%</c:formatCode>
                <c:ptCount val="3"/>
                <c:pt idx="0">
                  <c:v>0.313</c:v>
                </c:pt>
                <c:pt idx="1">
                  <c:v>0.308</c:v>
                </c:pt>
                <c:pt idx="2">
                  <c:v>8.1000000000000003E-2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5-4151-AE5B-DB5B14845D24}"/>
            </c:ext>
          </c:extLst>
        </c:ser>
        <c:ser>
          <c:idx val="2"/>
          <c:order val="2"/>
          <c:tx>
            <c:strRef>
              <c:f>'APS 2025 C4'!$A$14</c:f>
              <c:strCache>
                <c:ptCount val="1"/>
                <c:pt idx="0">
                  <c:v>Alto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C4'!$B$11:$D$11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C4'!$B$14:$D$14</c:f>
              <c:numCache>
                <c:formatCode>0.00%</c:formatCode>
                <c:ptCount val="3"/>
                <c:pt idx="0">
                  <c:v>6.3E-2</c:v>
                </c:pt>
                <c:pt idx="1">
                  <c:v>7.6999999999999999E-2</c:v>
                </c:pt>
                <c:pt idx="2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B5-4151-AE5B-DB5B14845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735680"/>
        <c:axId val="336737120"/>
      </c:barChart>
      <c:catAx>
        <c:axId val="3367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6737120"/>
        <c:crosses val="autoZero"/>
        <c:auto val="1"/>
        <c:lblAlgn val="ctr"/>
        <c:lblOffset val="100"/>
        <c:noMultiLvlLbl val="0"/>
      </c:catAx>
      <c:valAx>
        <c:axId val="33673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67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25. Novedad del producto/servicio en iniciativas TEA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C4'!$A$19</c:f>
              <c:strCache>
                <c:ptCount val="1"/>
                <c:pt idx="0">
                  <c:v>No es nuevo para nadie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C4'!$B$18:$D$18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C4'!$B$19:$D$19</c:f>
              <c:numCache>
                <c:formatCode>0.00%</c:formatCode>
                <c:ptCount val="3"/>
                <c:pt idx="0">
                  <c:v>0.56299999999999994</c:v>
                </c:pt>
                <c:pt idx="1">
                  <c:v>0.6</c:v>
                </c:pt>
                <c:pt idx="2">
                  <c:v>0.57599999999999996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A-41C8-BE9F-ED3684F9086E}"/>
            </c:ext>
          </c:extLst>
        </c:ser>
        <c:ser>
          <c:idx val="1"/>
          <c:order val="1"/>
          <c:tx>
            <c:strRef>
              <c:f>'APS 2025 C4'!$A$20</c:f>
              <c:strCache>
                <c:ptCount val="1"/>
                <c:pt idx="0">
                  <c:v>Nuevo para algunos clientes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C4'!$B$18:$D$18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C4'!$B$20:$D$20</c:f>
              <c:numCache>
                <c:formatCode>0.00%</c:formatCode>
                <c:ptCount val="3"/>
                <c:pt idx="0">
                  <c:v>0.313</c:v>
                </c:pt>
                <c:pt idx="1">
                  <c:v>0.28599999999999998</c:v>
                </c:pt>
                <c:pt idx="2">
                  <c:v>0.28799999999999998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1A-41C8-BE9F-ED3684F9086E}"/>
            </c:ext>
          </c:extLst>
        </c:ser>
        <c:ser>
          <c:idx val="2"/>
          <c:order val="2"/>
          <c:tx>
            <c:strRef>
              <c:f>'APS 2025 C4'!$A$21</c:f>
              <c:strCache>
                <c:ptCount val="1"/>
                <c:pt idx="0">
                  <c:v>Nuevo para muchos clientes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C4'!$B$18:$D$18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C4'!$B$21:$D$21</c:f>
              <c:numCache>
                <c:formatCode>0.00%</c:formatCode>
                <c:ptCount val="3"/>
                <c:pt idx="0">
                  <c:v>0.125</c:v>
                </c:pt>
                <c:pt idx="1">
                  <c:v>0.114</c:v>
                </c:pt>
                <c:pt idx="2">
                  <c:v>0.13700000000000001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1A-41C8-BE9F-ED3684F90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245344"/>
        <c:axId val="344231424"/>
      </c:barChart>
      <c:catAx>
        <c:axId val="3442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4231424"/>
        <c:crosses val="autoZero"/>
        <c:auto val="1"/>
        <c:lblAlgn val="ctr"/>
        <c:lblOffset val="100"/>
        <c:noMultiLvlLbl val="0"/>
      </c:catAx>
      <c:valAx>
        <c:axId val="34423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42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26. Novedad del producto/servicio en empresas establecidas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C4'!$A$27</c:f>
              <c:strCache>
                <c:ptCount val="1"/>
                <c:pt idx="0">
                  <c:v>No es nuevo para nadie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C4'!$B$26:$D$26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C4'!$B$27:$D$27</c:f>
              <c:numCache>
                <c:formatCode>0.00%</c:formatCode>
                <c:ptCount val="3"/>
                <c:pt idx="0">
                  <c:v>0.625</c:v>
                </c:pt>
                <c:pt idx="1">
                  <c:v>0.64100000000000001</c:v>
                </c:pt>
                <c:pt idx="2">
                  <c:v>0.68799999999999994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A-4497-AEB3-E2BB03C740F9}"/>
            </c:ext>
          </c:extLst>
        </c:ser>
        <c:ser>
          <c:idx val="1"/>
          <c:order val="1"/>
          <c:tx>
            <c:strRef>
              <c:f>'APS 2025 C4'!$A$28</c:f>
              <c:strCache>
                <c:ptCount val="1"/>
                <c:pt idx="0">
                  <c:v>Nuevo para algunos clientes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C4'!$B$26:$D$26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C4'!$B$28:$D$28</c:f>
              <c:numCache>
                <c:formatCode>0.00%</c:formatCode>
                <c:ptCount val="3"/>
                <c:pt idx="0">
                  <c:v>0.25</c:v>
                </c:pt>
                <c:pt idx="1">
                  <c:v>0.25600000000000001</c:v>
                </c:pt>
                <c:pt idx="2">
                  <c:v>0.249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A-4497-AEB3-E2BB03C740F9}"/>
            </c:ext>
          </c:extLst>
        </c:ser>
        <c:ser>
          <c:idx val="2"/>
          <c:order val="2"/>
          <c:tx>
            <c:strRef>
              <c:f>'APS 2025 C4'!$A$29</c:f>
              <c:strCache>
                <c:ptCount val="1"/>
                <c:pt idx="0">
                  <c:v>Nuevo para muchos clientes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C4'!$B$26:$D$26</c:f>
              <c:strCache>
                <c:ptCount val="3"/>
                <c:pt idx="0">
                  <c:v>Cáceres</c:v>
                </c:pt>
                <c:pt idx="1">
                  <c:v>Badajoz</c:v>
                </c:pt>
                <c:pt idx="2">
                  <c:v>Extremadura</c:v>
                </c:pt>
              </c:strCache>
            </c:strRef>
          </c:cat>
          <c:val>
            <c:numRef>
              <c:f>'APS 2025 C4'!$B$29:$D$29</c:f>
              <c:numCache>
                <c:formatCode>0.00%</c:formatCode>
                <c:ptCount val="3"/>
                <c:pt idx="0">
                  <c:v>0.125</c:v>
                </c:pt>
                <c:pt idx="1">
                  <c:v>0.10299999999999999</c:v>
                </c:pt>
                <c:pt idx="2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FA-4497-AEB3-E2BB03C74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258304"/>
        <c:axId val="344256384"/>
      </c:barChart>
      <c:catAx>
        <c:axId val="34425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4256384"/>
        <c:crosses val="autoZero"/>
        <c:auto val="1"/>
        <c:lblAlgn val="ctr"/>
        <c:lblOffset val="100"/>
        <c:noMultiLvlLbl val="0"/>
      </c:catAx>
      <c:valAx>
        <c:axId val="34425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425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 Tabla 21. Intensidad exportadora en iniciativas TEA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C4'!$B$33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C4'!$A$34:$A$37</c:f>
              <c:strCache>
                <c:ptCount val="4"/>
                <c:pt idx="0">
                  <c:v>No exporta</c:v>
                </c:pt>
                <c:pt idx="1">
                  <c:v>1–25% clientes internacionales</c:v>
                </c:pt>
                <c:pt idx="2">
                  <c:v>26–75% clientes internacionales</c:v>
                </c:pt>
                <c:pt idx="3">
                  <c:v>76–100% clientes internacionales</c:v>
                </c:pt>
              </c:strCache>
            </c:strRef>
          </c:cat>
          <c:val>
            <c:numRef>
              <c:f>'APS 2025 C4'!$B$34:$B$37</c:f>
              <c:numCache>
                <c:formatCode>0.00%</c:formatCode>
                <c:ptCount val="4"/>
                <c:pt idx="0">
                  <c:v>0.74</c:v>
                </c:pt>
                <c:pt idx="1">
                  <c:v>0.11899999999999999</c:v>
                </c:pt>
                <c:pt idx="2">
                  <c:v>0.10199999999999999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9-4AFD-8612-DC527BD4C811}"/>
            </c:ext>
          </c:extLst>
        </c:ser>
        <c:ser>
          <c:idx val="1"/>
          <c:order val="1"/>
          <c:tx>
            <c:strRef>
              <c:f>'APS 2025 C4'!$C$33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C4'!$A$34:$A$37</c:f>
              <c:strCache>
                <c:ptCount val="4"/>
                <c:pt idx="0">
                  <c:v>No exporta</c:v>
                </c:pt>
                <c:pt idx="1">
                  <c:v>1–25% clientes internacionales</c:v>
                </c:pt>
                <c:pt idx="2">
                  <c:v>26–75% clientes internacionales</c:v>
                </c:pt>
                <c:pt idx="3">
                  <c:v>76–100% clientes internacionales</c:v>
                </c:pt>
              </c:strCache>
            </c:strRef>
          </c:cat>
          <c:val>
            <c:numRef>
              <c:f>'APS 2025 C4'!$C$34:$C$37</c:f>
              <c:numCache>
                <c:formatCode>0.00%</c:formatCode>
                <c:ptCount val="4"/>
                <c:pt idx="0">
                  <c:v>0.81100000000000005</c:v>
                </c:pt>
                <c:pt idx="1">
                  <c:v>0.115</c:v>
                </c:pt>
                <c:pt idx="2">
                  <c:v>5.0999999999999997E-2</c:v>
                </c:pt>
                <c:pt idx="3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9-4AFD-8612-DC527BD4C811}"/>
            </c:ext>
          </c:extLst>
        </c:ser>
        <c:ser>
          <c:idx val="2"/>
          <c:order val="2"/>
          <c:tx>
            <c:strRef>
              <c:f>'APS 2025 C4'!$D$33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C4'!$A$34:$A$37</c:f>
              <c:strCache>
                <c:ptCount val="4"/>
                <c:pt idx="0">
                  <c:v>No exporta</c:v>
                </c:pt>
                <c:pt idx="1">
                  <c:v>1–25% clientes internacionales</c:v>
                </c:pt>
                <c:pt idx="2">
                  <c:v>26–75% clientes internacionales</c:v>
                </c:pt>
                <c:pt idx="3">
                  <c:v>76–100% clientes internacionales</c:v>
                </c:pt>
              </c:strCache>
            </c:strRef>
          </c:cat>
          <c:val>
            <c:numRef>
              <c:f>'APS 2025 C4'!$D$34:$D$37</c:f>
              <c:numCache>
                <c:formatCode>0.00%</c:formatCode>
                <c:ptCount val="4"/>
                <c:pt idx="0">
                  <c:v>0.78200000000000003</c:v>
                </c:pt>
                <c:pt idx="1">
                  <c:v>0.11600000000000001</c:v>
                </c:pt>
                <c:pt idx="2">
                  <c:v>7.1999999999999995E-2</c:v>
                </c:pt>
                <c:pt idx="3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F9-4AFD-8612-DC527BD4C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268240"/>
        <c:axId val="340265360"/>
      </c:barChart>
      <c:catAx>
        <c:axId val="34026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0265360"/>
        <c:crosses val="autoZero"/>
        <c:auto val="1"/>
        <c:lblAlgn val="ctr"/>
        <c:lblOffset val="100"/>
        <c:noMultiLvlLbl val="0"/>
      </c:catAx>
      <c:valAx>
        <c:axId val="3402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026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22. Intensidad exportadora en empresas establecidas (% válido)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C4'!$B$42</c:f>
              <c:strCache>
                <c:ptCount val="1"/>
                <c:pt idx="0">
                  <c:v>Cáceres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C4'!$A$43:$A$46</c:f>
              <c:strCache>
                <c:ptCount val="4"/>
                <c:pt idx="0">
                  <c:v>No exporta</c:v>
                </c:pt>
                <c:pt idx="1">
                  <c:v>1–25% clientes internacionales</c:v>
                </c:pt>
                <c:pt idx="2">
                  <c:v>26–75% clientes internacionales</c:v>
                </c:pt>
                <c:pt idx="3">
                  <c:v>76–100% clientes internacionales</c:v>
                </c:pt>
              </c:strCache>
            </c:strRef>
          </c:cat>
          <c:val>
            <c:numRef>
              <c:f>'APS 2025 C4'!$B$43:$B$46</c:f>
              <c:numCache>
                <c:formatCode>0.00%</c:formatCode>
                <c:ptCount val="4"/>
                <c:pt idx="0">
                  <c:v>0.70099999999999996</c:v>
                </c:pt>
                <c:pt idx="1">
                  <c:v>0.21299999999999999</c:v>
                </c:pt>
                <c:pt idx="2">
                  <c:v>0.05</c:v>
                </c:pt>
                <c:pt idx="3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5-4150-8D12-95F055C9E321}"/>
            </c:ext>
          </c:extLst>
        </c:ser>
        <c:ser>
          <c:idx val="1"/>
          <c:order val="1"/>
          <c:tx>
            <c:strRef>
              <c:f>'APS 2025 C4'!$C$42</c:f>
              <c:strCache>
                <c:ptCount val="1"/>
                <c:pt idx="0">
                  <c:v>Badajoz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C4'!$A$43:$A$46</c:f>
              <c:strCache>
                <c:ptCount val="4"/>
                <c:pt idx="0">
                  <c:v>No exporta</c:v>
                </c:pt>
                <c:pt idx="1">
                  <c:v>1–25% clientes internacionales</c:v>
                </c:pt>
                <c:pt idx="2">
                  <c:v>26–75% clientes internacionales</c:v>
                </c:pt>
                <c:pt idx="3">
                  <c:v>76–100% clientes internacionales</c:v>
                </c:pt>
              </c:strCache>
            </c:strRef>
          </c:cat>
          <c:val>
            <c:numRef>
              <c:f>'APS 2025 C4'!$C$43:$C$46</c:f>
              <c:numCache>
                <c:formatCode>0.00%</c:formatCode>
                <c:ptCount val="4"/>
                <c:pt idx="0">
                  <c:v>0.873</c:v>
                </c:pt>
                <c:pt idx="1">
                  <c:v>0.105</c:v>
                </c:pt>
                <c:pt idx="2">
                  <c:v>1.0999999999999999E-2</c:v>
                </c:pt>
                <c:pt idx="3">
                  <c:v>1.0999999999999999E-2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5-4150-8D12-95F055C9E321}"/>
            </c:ext>
          </c:extLst>
        </c:ser>
        <c:ser>
          <c:idx val="2"/>
          <c:order val="2"/>
          <c:tx>
            <c:strRef>
              <c:f>'APS 2025 C4'!$D$42</c:f>
              <c:strCache>
                <c:ptCount val="1"/>
                <c:pt idx="0">
                  <c:v>Extremadura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C4'!$A$43:$A$46</c:f>
              <c:strCache>
                <c:ptCount val="4"/>
                <c:pt idx="0">
                  <c:v>No exporta</c:v>
                </c:pt>
                <c:pt idx="1">
                  <c:v>1–25% clientes internacionales</c:v>
                </c:pt>
                <c:pt idx="2">
                  <c:v>26–75% clientes internacionales</c:v>
                </c:pt>
                <c:pt idx="3">
                  <c:v>76–100% clientes internacionales</c:v>
                </c:pt>
              </c:strCache>
            </c:strRef>
          </c:cat>
          <c:val>
            <c:numRef>
              <c:f>'APS 2025 C4'!$D$43:$D$46</c:f>
              <c:numCache>
                <c:formatCode>0.00%</c:formatCode>
                <c:ptCount val="4"/>
                <c:pt idx="0">
                  <c:v>0.82399999999999995</c:v>
                </c:pt>
                <c:pt idx="1">
                  <c:v>0.13600000000000001</c:v>
                </c:pt>
                <c:pt idx="2">
                  <c:v>2.1999999999999999E-2</c:v>
                </c:pt>
                <c:pt idx="3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5-4150-8D12-95F055C9E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86496"/>
        <c:axId val="113784096"/>
      </c:barChart>
      <c:catAx>
        <c:axId val="1137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784096"/>
        <c:crosses val="autoZero"/>
        <c:auto val="1"/>
        <c:lblAlgn val="ctr"/>
        <c:lblOffset val="100"/>
        <c:noMultiLvlLbl val="0"/>
      </c:catAx>
      <c:valAx>
        <c:axId val="1137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7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24. Expectativa de uso de tecnologías digitales en los próximos 6 meses (%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C4'!$A$51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C4'!$B$50:$E$50</c:f>
              <c:strCache>
                <c:ptCount val="4"/>
                <c:pt idx="0">
                  <c:v>TEA Cáceres</c:v>
                </c:pt>
                <c:pt idx="1">
                  <c:v>TEA Badajoz</c:v>
                </c:pt>
                <c:pt idx="2">
                  <c:v>EB Cáceres</c:v>
                </c:pt>
                <c:pt idx="3">
                  <c:v>EB Badajoz</c:v>
                </c:pt>
              </c:strCache>
            </c:strRef>
          </c:cat>
          <c:val>
            <c:numRef>
              <c:f>'APS 2025 C4'!$B$51:$E$51</c:f>
              <c:numCache>
                <c:formatCode>0.00%</c:formatCode>
                <c:ptCount val="4"/>
                <c:pt idx="0">
                  <c:v>0.38100000000000001</c:v>
                </c:pt>
                <c:pt idx="1">
                  <c:v>0.58299999999999996</c:v>
                </c:pt>
                <c:pt idx="2">
                  <c:v>0.35699999999999998</c:v>
                </c:pt>
                <c:pt idx="3">
                  <c:v>0.38100000000000001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2-4325-ABB0-54A4133D2EEE}"/>
            </c:ext>
          </c:extLst>
        </c:ser>
        <c:ser>
          <c:idx val="1"/>
          <c:order val="1"/>
          <c:tx>
            <c:strRef>
              <c:f>'APS 2025 C4'!$A$52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C4'!$B$50:$E$50</c:f>
              <c:strCache>
                <c:ptCount val="4"/>
                <c:pt idx="0">
                  <c:v>TEA Cáceres</c:v>
                </c:pt>
                <c:pt idx="1">
                  <c:v>TEA Badajoz</c:v>
                </c:pt>
                <c:pt idx="2">
                  <c:v>EB Cáceres</c:v>
                </c:pt>
                <c:pt idx="3">
                  <c:v>EB Badajoz</c:v>
                </c:pt>
              </c:strCache>
            </c:strRef>
          </c:cat>
          <c:val>
            <c:numRef>
              <c:f>'APS 2025 C4'!$B$52:$E$52</c:f>
              <c:numCache>
                <c:formatCode>0.00%</c:formatCode>
                <c:ptCount val="4"/>
                <c:pt idx="0">
                  <c:v>0.39400000000000002</c:v>
                </c:pt>
                <c:pt idx="1">
                  <c:v>0.27300000000000002</c:v>
                </c:pt>
                <c:pt idx="2">
                  <c:v>0.61199999999999999</c:v>
                </c:pt>
                <c:pt idx="3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2-4325-ABB0-54A4133D2EEE}"/>
            </c:ext>
          </c:extLst>
        </c:ser>
        <c:ser>
          <c:idx val="2"/>
          <c:order val="2"/>
          <c:tx>
            <c:strRef>
              <c:f>'APS 2025 C4'!$A$53</c:f>
              <c:strCache>
                <c:ptCount val="1"/>
                <c:pt idx="0">
                  <c:v>Quizás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C4'!$B$50:$E$50</c:f>
              <c:strCache>
                <c:ptCount val="4"/>
                <c:pt idx="0">
                  <c:v>TEA Cáceres</c:v>
                </c:pt>
                <c:pt idx="1">
                  <c:v>TEA Badajoz</c:v>
                </c:pt>
                <c:pt idx="2">
                  <c:v>EB Cáceres</c:v>
                </c:pt>
                <c:pt idx="3">
                  <c:v>EB Badajoz</c:v>
                </c:pt>
              </c:strCache>
            </c:strRef>
          </c:cat>
          <c:val>
            <c:numRef>
              <c:f>'APS 2025 C4'!$B$53:$E$53</c:f>
              <c:numCache>
                <c:formatCode>0.00%</c:formatCode>
                <c:ptCount val="4"/>
                <c:pt idx="0">
                  <c:v>0.22500000000000001</c:v>
                </c:pt>
                <c:pt idx="1">
                  <c:v>0.14399999999999999</c:v>
                </c:pt>
                <c:pt idx="2">
                  <c:v>3.1E-2</c:v>
                </c:pt>
                <c:pt idx="3">
                  <c:v>8.8999999999999996E-2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B2-4325-ABB0-54A4133D2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90368"/>
        <c:axId val="136289888"/>
      </c:barChart>
      <c:catAx>
        <c:axId val="13629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289888"/>
        <c:crosses val="autoZero"/>
        <c:auto val="1"/>
        <c:lblAlgn val="ctr"/>
        <c:lblOffset val="100"/>
        <c:noMultiLvlLbl val="0"/>
      </c:catAx>
      <c:valAx>
        <c:axId val="13628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29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Tabla 29. Importancia de tecnologías digitales en iniciativas TEA (Cáceres, 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C4'!$B$58</c:f>
              <c:strCache>
                <c:ptCount val="1"/>
                <c:pt idx="0">
                  <c:v>Nada importante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C4'!$A$59:$A$62</c:f>
              <c:strCache>
                <c:ptCount val="4"/>
                <c:pt idx="0">
                  <c:v>Data analytics tools</c:v>
                </c:pt>
                <c:pt idx="1">
                  <c:v>Inteligencia artificial (actual)</c:v>
                </c:pt>
                <c:pt idx="2">
                  <c:v>Inteligencia artificial (3 años)</c:v>
                </c:pt>
                <c:pt idx="3">
                  <c:v>Página web corporativa</c:v>
                </c:pt>
              </c:strCache>
            </c:strRef>
          </c:cat>
          <c:val>
            <c:numRef>
              <c:f>'APS 2025 C4'!$B$59:$B$62</c:f>
              <c:numCache>
                <c:formatCode>0.00%</c:formatCode>
                <c:ptCount val="4"/>
                <c:pt idx="0">
                  <c:v>0.23200000000000001</c:v>
                </c:pt>
                <c:pt idx="1">
                  <c:v>0.372</c:v>
                </c:pt>
                <c:pt idx="2">
                  <c:v>0.29399999999999998</c:v>
                </c:pt>
                <c:pt idx="3">
                  <c:v>0.26800000000000002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1-45E8-8340-9EA4E3040250}"/>
            </c:ext>
          </c:extLst>
        </c:ser>
        <c:ser>
          <c:idx val="1"/>
          <c:order val="1"/>
          <c:tx>
            <c:strRef>
              <c:f>'APS 2025 C4'!$C$58</c:f>
              <c:strCache>
                <c:ptCount val="1"/>
                <c:pt idx="0">
                  <c:v>Algo importante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C4'!$A$59:$A$62</c:f>
              <c:strCache>
                <c:ptCount val="4"/>
                <c:pt idx="0">
                  <c:v>Data analytics tools</c:v>
                </c:pt>
                <c:pt idx="1">
                  <c:v>Inteligencia artificial (actual)</c:v>
                </c:pt>
                <c:pt idx="2">
                  <c:v>Inteligencia artificial (3 años)</c:v>
                </c:pt>
                <c:pt idx="3">
                  <c:v>Página web corporativa</c:v>
                </c:pt>
              </c:strCache>
            </c:strRef>
          </c:cat>
          <c:val>
            <c:numRef>
              <c:f>'APS 2025 C4'!$C$59:$C$62</c:f>
              <c:numCache>
                <c:formatCode>0.00%</c:formatCode>
                <c:ptCount val="4"/>
                <c:pt idx="0">
                  <c:v>0.377</c:v>
                </c:pt>
                <c:pt idx="1">
                  <c:v>0.375</c:v>
                </c:pt>
                <c:pt idx="2">
                  <c:v>0.375</c:v>
                </c:pt>
                <c:pt idx="3">
                  <c:v>0.30099999999999999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B1-45E8-8340-9EA4E3040250}"/>
            </c:ext>
          </c:extLst>
        </c:ser>
        <c:ser>
          <c:idx val="2"/>
          <c:order val="2"/>
          <c:tx>
            <c:strRef>
              <c:f>'APS 2025 C4'!$D$58</c:f>
              <c:strCache>
                <c:ptCount val="1"/>
                <c:pt idx="0">
                  <c:v>Muy importante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C4'!$A$59:$A$62</c:f>
              <c:strCache>
                <c:ptCount val="4"/>
                <c:pt idx="0">
                  <c:v>Data analytics tools</c:v>
                </c:pt>
                <c:pt idx="1">
                  <c:v>Inteligencia artificial (actual)</c:v>
                </c:pt>
                <c:pt idx="2">
                  <c:v>Inteligencia artificial (3 años)</c:v>
                </c:pt>
                <c:pt idx="3">
                  <c:v>Página web corporativa</c:v>
                </c:pt>
              </c:strCache>
            </c:strRef>
          </c:cat>
          <c:val>
            <c:numRef>
              <c:f>'APS 2025 C4'!$D$59:$D$62</c:f>
              <c:numCache>
                <c:formatCode>0.00%</c:formatCode>
                <c:ptCount val="4"/>
                <c:pt idx="0">
                  <c:v>0.39100000000000001</c:v>
                </c:pt>
                <c:pt idx="1">
                  <c:v>0.253</c:v>
                </c:pt>
                <c:pt idx="2">
                  <c:v>0.33100000000000002</c:v>
                </c:pt>
                <c:pt idx="3">
                  <c:v>0.43099999999999999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B1-45E8-8340-9EA4E3040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250624"/>
        <c:axId val="344234304"/>
      </c:barChart>
      <c:catAx>
        <c:axId val="3442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4234304"/>
        <c:crosses val="autoZero"/>
        <c:auto val="1"/>
        <c:lblAlgn val="ctr"/>
        <c:lblOffset val="100"/>
        <c:noMultiLvlLbl val="0"/>
      </c:catAx>
      <c:valAx>
        <c:axId val="34423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425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 Tabla 30. Importancia de tecnologías digitales en iniciativas TEA (Badajoz, % válido)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'APS 2025 C4'!$B$67</c:f>
              <c:strCache>
                <c:ptCount val="1"/>
                <c:pt idx="0">
                  <c:v>Nada importante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'APS 2025 C4'!$A$68:$A$72</c:f>
              <c:strCache>
                <c:ptCount val="5"/>
                <c:pt idx="0">
                  <c:v>Cloud computing</c:v>
                </c:pt>
                <c:pt idx="1">
                  <c:v>Data analytics tools</c:v>
                </c:pt>
                <c:pt idx="2">
                  <c:v>Inteligencia artificial (actual)</c:v>
                </c:pt>
                <c:pt idx="3">
                  <c:v>Inteligencia artificial (3 años)</c:v>
                </c:pt>
                <c:pt idx="4">
                  <c:v>Página web corporativa</c:v>
                </c:pt>
              </c:strCache>
            </c:strRef>
          </c:cat>
          <c:val>
            <c:numRef>
              <c:f>'APS 2025 C4'!$B$68:$B$72</c:f>
              <c:numCache>
                <c:formatCode>0.00%</c:formatCode>
                <c:ptCount val="5"/>
                <c:pt idx="0">
                  <c:v>0.217</c:v>
                </c:pt>
                <c:pt idx="1">
                  <c:v>0.22500000000000001</c:v>
                </c:pt>
                <c:pt idx="2">
                  <c:v>0.54400000000000004</c:v>
                </c:pt>
                <c:pt idx="3">
                  <c:v>0.40500000000000003</c:v>
                </c:pt>
                <c:pt idx="4">
                  <c:v>0.376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1-4606-913C-30A0D078A1B4}"/>
            </c:ext>
          </c:extLst>
        </c:ser>
        <c:ser>
          <c:idx val="1"/>
          <c:order val="1"/>
          <c:tx>
            <c:strRef>
              <c:f>'APS 2025 C4'!$C$67</c:f>
              <c:strCache>
                <c:ptCount val="1"/>
                <c:pt idx="0">
                  <c:v>Algo importante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'APS 2025 C4'!$A$68:$A$72</c:f>
              <c:strCache>
                <c:ptCount val="5"/>
                <c:pt idx="0">
                  <c:v>Cloud computing</c:v>
                </c:pt>
                <c:pt idx="1">
                  <c:v>Data analytics tools</c:v>
                </c:pt>
                <c:pt idx="2">
                  <c:v>Inteligencia artificial (actual)</c:v>
                </c:pt>
                <c:pt idx="3">
                  <c:v>Inteligencia artificial (3 años)</c:v>
                </c:pt>
                <c:pt idx="4">
                  <c:v>Página web corporativa</c:v>
                </c:pt>
              </c:strCache>
            </c:strRef>
          </c:cat>
          <c:val>
            <c:numRef>
              <c:f>'APS 2025 C4'!$C$68:$C$72</c:f>
              <c:numCache>
                <c:formatCode>0.00%</c:formatCode>
                <c:ptCount val="5"/>
                <c:pt idx="0">
                  <c:v>0.434</c:v>
                </c:pt>
                <c:pt idx="1">
                  <c:v>0.36799999999999999</c:v>
                </c:pt>
                <c:pt idx="2">
                  <c:v>0.224</c:v>
                </c:pt>
                <c:pt idx="3">
                  <c:v>0.28299999999999997</c:v>
                </c:pt>
                <c:pt idx="4">
                  <c:v>0.30299999999999999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1-4606-913C-30A0D078A1B4}"/>
            </c:ext>
          </c:extLst>
        </c:ser>
        <c:ser>
          <c:idx val="2"/>
          <c:order val="2"/>
          <c:tx>
            <c:strRef>
              <c:f>'APS 2025 C4'!$D$67</c:f>
              <c:strCache>
                <c:ptCount val="1"/>
                <c:pt idx="0">
                  <c:v>Muy importante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'APS 2025 C4'!$A$68:$A$72</c:f>
              <c:strCache>
                <c:ptCount val="5"/>
                <c:pt idx="0">
                  <c:v>Cloud computing</c:v>
                </c:pt>
                <c:pt idx="1">
                  <c:v>Data analytics tools</c:v>
                </c:pt>
                <c:pt idx="2">
                  <c:v>Inteligencia artificial (actual)</c:v>
                </c:pt>
                <c:pt idx="3">
                  <c:v>Inteligencia artificial (3 años)</c:v>
                </c:pt>
                <c:pt idx="4">
                  <c:v>Página web corporativa</c:v>
                </c:pt>
              </c:strCache>
            </c:strRef>
          </c:cat>
          <c:val>
            <c:numRef>
              <c:f>'APS 2025 C4'!$D$68:$D$72</c:f>
              <c:numCache>
                <c:formatCode>0.00%</c:formatCode>
                <c:ptCount val="5"/>
                <c:pt idx="0">
                  <c:v>0.34899999999999998</c:v>
                </c:pt>
                <c:pt idx="1">
                  <c:v>0.40699999999999997</c:v>
                </c:pt>
                <c:pt idx="2">
                  <c:v>0.23200000000000001</c:v>
                </c:pt>
                <c:pt idx="3">
                  <c:v>0.312</c:v>
                </c:pt>
                <c:pt idx="4">
                  <c:v>0.32100000000000001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B1-4606-913C-30A0D078A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236560"/>
        <c:axId val="340231280"/>
      </c:barChart>
      <c:catAx>
        <c:axId val="34023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0231280"/>
        <c:crosses val="autoZero"/>
        <c:auto val="1"/>
        <c:lblAlgn val="ctr"/>
        <c:lblOffset val="100"/>
        <c:noMultiLvlLbl val="0"/>
      </c:catAx>
      <c:valAx>
        <c:axId val="3402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023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knowentt25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knowentt25</a:t>
          </a:r>
        </a:p>
      </cx:txPr>
    </cx:title>
    <cx:plotArea>
      <cx:plotAreaRegion>
        <cx:series layoutId="regionMap" uniqueId="{4A03D2F5-6405-D24F-AF3C-2EEF9DE307BD}">
          <cx:tx>
            <cx:txData>
              <cx:f>_xlchart.v5.6</cx:f>
              <cx:v>Knoent25</cx:v>
            </cx:txData>
          </cx:tx>
          <cx:spPr>
            <a:noFill/>
          </cx:spPr>
          <cx:dataId val="0"/>
          <cx:layoutPr>
            <cx:geography viewedRegionType="dataOnly" cultureLanguage="es-ES" cultureRegion="ES" attribution="Con tecnología de Bing">
              <cx:geoCache provider="{E9337A44-BEBE-4D9F-B70C-5C5E7DAFC167}">
                <cx:binary>7HzZctzIkuWvyOp5wIoNsbR1tdkNIDcmSXHR/gJLkRQQCOyBwPZP/dA2n3B/bJwSpaIoSldlUzPW
MuusKqqY2DzCI9zPOe7Qv19P/3Zd3B66Z1NZVO7frqc/fsv6vvm3339319lteXBHpbnuald/6I+u
6/L3+sMHc337+013GE2V/k4QZr9fZ4euv51++49/h7ult/VJfX3oTV1d+Ntuvrx1vujdD449eejZ
4aY0VWxc35nrHv/x28nh2aWp88Nvz26r3vTzi7m5/eO3r8767dnvj+/1zXOfFWBa72/gWkaOiGCS
Ui5/e1bUVXr/fUCOQiwQRSpEnz7480PPDiVc+DOmfDTkcHPT3ToHY/n458MrvzL84YHr2lf93bSl
MIN//LZyzeGf/wWjNq6OPh2K6jvrV1cfh/v711P+H//+6AuYgEffPPDK49n6V4e+ccr54Z//6Z69
Orjr+vMU/Q1+oUeIUYwICdXHzzfu4eAeRBW5dw/5/OxP7nlg1LPfn628s4cb8/mUp8x72lffuc0j
x33nrF/Ki2eH4dB1f+/O4lwigcX9DqJfbzB8xBlXhCH8ycFKfXbPJw9Gdekrc3O4ebauu0Px7Ob2
2U/Y+LQbf3SvR7780an/rR36PeMeRsqvzvmrkRIdUYUw4p/99WhH0qMwZJRzjJ8OmF+C2PcNetp5
Xy78yvr/7lHxz3UEC/f0cNOZm8/r+6nw8xezFjpiioUMY/5kdKRHAnPMOfpOdPyLxj3tlydv8t3d
9GAWfik/rqa+Awh04//O2EjVEVaYEo7ZF3DxEHzwIxwiqe7wx6cPxM5P2+ZTbPxJo57221cXP/LX
V8d+KT9FB9ebojg8m5+d3P7zf1efJ+xv2Gz4SISYgDfuP4AEHzqLHQkpOUJfoAj7/Oz7RPYXLHva
Y9+O7ZHbvj3h1/Ldl1T/6lDcVtfmUP2NQAQ2GyQuIgBL3iONr/2HjiBvQV5T97FUKfHIgU+YB6Dy
U/zrDz1g35+x+ju+/Ss3f+z2v3LtL7UiNofCwDL47Ie/YRMT2MRcCCmAKDzcveJIIaUowfR+cfDP
D/20e+8tAX/f/d/yQ5Oe9vC3d3jkxm9P+KV8FR36Q+E/8tOH0O6rQf5VrAkhV8E/lN8nwK9DLj4K
iQyBm0PU/fiBww/T409Z9LSzHlz61QD++O3BkV/KPf/oDunfnQ9DrIhQTH6a/Uc7Ch1x4OxMKHXv
HfQoIf6ERU8758uFj1zz5ftfyjEassYBpKHPa/f/PshBpuOYUsYfULAHsY4cqZBLdhfvviTCh9tm
54qDe/YzZj3tnsfXP/LS48O/lLOiQ9Uf3nd/a0qiQAIEpQhkkI8fgB0PvBWwI0SJJIh8JtyPMtM/
fF9XdfnP/zzcaSM/ZeDTfvvujR458Lvn/VKe/CIn/DhZ/T8UTP/heg8r6W/c+IweEUUokvJ+5z8K
yeERQByqAAbffx4lzPPOAOpuDjf13VL6GfueXknfu8+jhfS9036pdfSFc0El4PRQQf3jbw3koUSK
MQR7/mFMAFUcMcHwnzH880O/5prBTxn1tBM/D+zhPR458KlTfinnnfrub6UXVIJjCOJUsE+x/JE4
io+YDBVE8nvIhB5twLtKD4C0u933r0172m1P3OKR154445dy2j+qGyAa15DwPi/6vwEyiSPGKQ4F
v3ccVCEebjh2BIcgaJIHkOohZvo5m5722MNrH7nq4aH/vz76ft77UkaNgfCtPtZfH9QKf3z04wRA
VfjRpT8q436a5d3NH78pqClA/nrAIe9u8xXje1yN/eqyWxDg/vgtgIKTuJN5gFhyLjinEFvH24+H
AInR8E4dAjdTcDiHQ1Xd9dnHAjFnkgsoU/GQUoLADlf7j4fwEVzAAMMx+IFArf1S/T6vizmtqy+T
cv/7s8qX57Wpegc35nCn5tN5d+aGnKsQCp4CDCNEEHGnVDTXh0soscPp+H+RyhlUsyzXludqbZe6
3XCD/SovG3VSzqbWo6s3CyHjujNy3KcqGM5GM7IVysSJcvSml4pte9Z53SZV7HDFz8OilHqZrNUm
FOsCBTYu8oZvGWoK+J6/GRrf67Ga0Rs3IbRqVbMQbWxdrpO29nqRS/h6mEaqZ07nlQ+bdq26wuqF
heFJ5Y0/nYbipJW5PO3FfDJkfXqc1VnwrvUpn3QbGKrL1AW7wPEwknkenOXM2V2vymFPrJG1Rqbn
sRjHTW7p8wYXbGVwoCqd+OxQTsFbacTrmi9qM+d2OZsq5fdoHIsdTYN3YdGYmLMp202CDFGyVC5K
l5Tt2rBiq4Ibv3Zy4TrDYa2zgtMIG15rq6zRS0LNiWqa8dSX9iId6kynIVp11qcxKIZmRWhfR307
nczBXK9nhrZG5OSkSlinnZAzzGc2X7Amn6NhEL3mwr4L+ARf8bS7REVv11kryfEIYzpxpEg2DlMZ
pUW+nOHRmShJOrlqs0aups7J416m3fNhKcQqS/NMt3Uo47oNpZ5a+97k5aDl4o3GEws1k1kTdSk6
xnZ430u/6GLCeTTOro/KFNF48d2HLk1gGjnOokqaSTfVYvaG0PMhaPMo4fOyAW8ncaHKXRZMWHf9
sK/nZowk7gMtgtzppVJvO5O8lK1MdT+pjS8DMAjlWMuUvG04vVWqDFd1PzfRRKaXiVCXlbXBThXL
5YhTGs2VDDd1VTAtJF4iyJRU90kuYjSkVA9ZgTcTTrrjrGrfU1bT/ZBVsawOi/Mvc94TTfLJ7Rqb
8lUx5zLu63SX02o7w493HfJW1/V0Oi1LHgWKV3GXj2+GpGq1delz0oYv8EhfWrfUa1X01SZD9ZUv
02JXKpxoUfX5ekrzZs1I1cZllZ86Pr2Wts9WcxckK5nQc5xxtA56CwsEhclxL8p1bwy7qBLE47Y0
Y6h5FhYR6gKzm5u5YnohTuq+kjxqhyXc50SNcepdvUdNj9apsPMG98PVHKh3xTzA6JbXbZs02nXp
dRikL1U3LmteCR5R0006SEWql6B2m8CFXns8JFHCkNwIhXpN3bSvULHooGZEWzTNum4avKrpWO0w
Hrzu6rTXZb/0keubZlVLtp+7oosC26ZRl41VZFuwmqE0ueCdNWtvzHJKcOnXBISgHS/DFxybUidp
mWgbMh5J0UywqvlS6tawd01WeV0X7b4VLNwslBbbIZE3fhhS7dOi0V0i+WXhOhnJeqGbccqrqPV9
tUpHkqVgev4qqMdE53h6TcdFruoRdoJlQxUFSfhqGQO17UL7okkZ1mp05Rma2+S5yoerRgq/aloX
nk5h69d4QnI/ezxGs1fjPhRq3BCYgZWiXfDeDaONEITjCIuxWWXEvOLhOOs0TXFUp5JuZlcnekSm
0KXLWu2mcIh6QvAKkbY4GcZUrVlg2tNkcH4zSXY742HWSTKSNSnz6k3tkle5D8OrpqEQifBor1uV
3ixoTuIED0Us5pHuDK3O27lqzkKW9BGEA78ndA5O5eAyzf3o12VZnmOzFPFUgUHLECS6KIp9nt2Z
QmcaF+Ocb1ha1+tuoMVGhuytJTl50S8hvYRYhtZhWQbrsbZqXYSEXrZ2cJuxDqdtPw6BdiOt4ilI
eRahHu630MTspiBfLlJW0rcO9TA/aszfjktXR7bimzIvkGaZbV6hRtEote0QEdWdOkb9Jklrq5GY
beT9nEL8kjIu0zZZtdS0OiA52kLsmtd5uIzRRL0v9YzCHS9KHI9jiXXfVsO5CGSjQ2fDqGXd+5wt
NtcZ6fxVJ6pBE8qHXe682nLv39bKqXOVd0FkMw6OKxrrtGi6+kIYdVOELtS9GfvzrmPBC4mK/IxZ
hiLS83w9T9lp2g/ZRqppuPBkwpulS666XG7qwLiNbZtcT1wUUclLq30eyDjtizquBhEXWTqtBOyu
MYMQTnostr4t8kIHCfxwOBljNwes0UlX8e3YFWRXuTF7XdgExybjRdSEY6pnkZU6F034qpCyj6w3
aE875iGcSqqnmb1DMomCNMxXyvj2re2kOGOdSHSgVLoxo+0iWoEPoJHOr1tWwHb1sBb9lHfR4GC9
yQrs4bKf9eKzWjM3Y41wXwwa0gKYK1y/tWKCDJlVywULM6NJha+sz/ElY9TFZVL4lXALjStuqxi6
dtYdH4dVONnpDE+wcfC0tLvCzWT7sF3tK4x0XTdzZ9Lsvknwy6//8aIu4d+P/Wt/fnnXY/jnb6ef
mxN/eNbmtr7jyO7xSXeA98u9/uyUu4OYX9rmHsHWT+2M38G0Pzz4c4CXwBoOfwR3n2Byf8Ll+6vv
US+o8RKwLrrr3EFAQiWI8feolxxR9rEmSkFlBEmBASC9R73AZ0UopVJcQsXsI7T9jHqpOKKCMND3
uQDMDHXxv4J6P/ZZfoV6BcXQYylDTqUinDJgxg9R75Dafmhb/B4R/7wrXLNFPXMaz+KaGj6c8qSA
/V3xEzeyG9J6r5sykZCn6nOObQBbs64hSo/1BlJXs3KAdGPSl+ezIHvWVb1uFcuPbdO+wIOUGgiA
16iuw9WStv7YVUru6rqfdkS6c965s6Ut64vEd2tqIMUtbng1dCoOs6FcA3Zu4kopua6TZYqa2gd6
cY3RwvjxNPVs3hZNTnStRKV72sZuVOpqVOJl1rBjkokmbquOxihNXydLc94X+ESyQJ4I1rJVAFCI
Dj7fWZmNNw3jNuJdiCM5BFxLk68Xgy/DIBkjFaRNTHlf6c6r29K1txX1WGNseshoZtlhlJ5kvsdx
VnXdCzY1L0zT1rrwzEYyMI221QdqxAXDKNOTn9bggitiE6+FQzCcIX/nrBDHKkXL1nR9ECkGw2Ro
xLr0GB0LrqrNNJkmLns4gHrxxgPOLfTUt0Kjqam1y/ECwToNr2m7eE16+G4a+PVEmNejGuSJTfJm
1RGYurntyQYgHNastOS9hNHuWuKX3aimbl3X3SbsEdZL2p1NLNWymPyxH5sPmIHHYWltCmGLFStS
tp+IuB4dOaHdZLd1QAAbKpf6iyqTb3wx72ZZnwd5poAP4JOmy5ddmdE3LsX5cTG1QYRw84KQFJ7f
s/MBoqJdpNF1R4u9aGFJKlh7QWZrncPK0QOAil2S53zPRTbtbVqh2CzYHjOgZm6NWOGmmLVLe41S
DO5qmQ/WOOyCA5txp0dfRrOd/fsRNehNq+yyqstWXo5UhHtUBvgwV23/gve1uUUUw9JYEnLSWpdH
4F1YGhg1J3VaoG2bLhnMe7usx+KVZ2WSRcy1y5uS9nxDEvAWsuWyMVXRTRGkgW4lVd7vWjXPWkzJ
q07a0ul+CHEZ2TnvV26sqoMNGzTGqCUq19CKQM7SACAYcS7fJmUbxtNA2m3D7fuShuWZCzlhUVuU
E9CrBGOn5xKA45hgAHcmb9NTMuboucxSsyrlzGBBDVxlkQVcuDZBG+qxm/ODCTq3KcjkWj0BVtQe
teyNDX33RoQzWtMmuByaZLpIisI/Vx2LgAFO53bp5akPGvKaIZZ/SAESHeM+sUB56mQlktys+Dyh
l4P19CRzGYknXIpVgnLZbuY6bXVtF3o88ppelJPqtWxLclqOLT9mpVo+WEnWrhqOYdOfZ54sUd/3
QTwDIju2YkBR0ssXjQsUJPRpiK3Ino906eKkFaFuadCc4RQybhYmRCsxX1ZlX6zqaV4N0G4ZLT2A
ebKUF0tdVREtpnnXOtZcFKIrzxeZh1EQyrfST8u6Em1yNnk+vpySma8lnsgFr2D6N47eodKFpq/S
DuMD8rB4+YjtBQ89W7TvJ3rtqzLTSa5GHgHkRKu0SufXCFOzn104vEkMo0pjyxEw2Zq8ThEg9MBO
yV5NTbkd+1wdw8Pa5wDYgE00hQshMtDhPOdD8XZaVL5inRkBvDami9TC7UUXtM1KGEdPKCI2jQOM
2csRDeTM4rzSGFJWTKr6rczJAiCv98egY1zhRjWaA6G5HLMGVJCGzKtGktdNld00ogUGXcHpeVIM
u4T5/HyagPC0df3W82CTi3F+MSLwmZnDfVmL+cPkWBqN2eiispqqRud5P65Da9M9HvJ6q6oElgLG
dWwaAGFzMs3AkgWOFQKIhjHpbjuxfFiK1MZLntlYFhK4VdVOq4pMQAxz1MeJRcStfADcbVuZgkCc
4mE5RoHAr2HLh6uOLmy1YGNW9czZZSlDvBVAVfsNGtBA4weA4Ak5CRSrR2n1rkVCUogLoGgxBnji
YVrlji6iQOKQ0vANVBTezIRcg7j1JjMD1v8D077/esmfQAskYZhjBorxl1dOvhEmn2ySfeoW93AN
CjwhCJCgRCLKFCYY4NA9XLuTou9KxVJI6JvnBMrFnzVKfIRB0QRhE4GMzfAdhrrXKKElQErgt4oh
oUKpAP59xq1f4W/QZp9YVHdP/2pVwYNBKAU7Qui9CUMEY3+4qkyn+JxhZrUkPn2rvKz2pUnUijce
uDbt8YbM3G29mQanXcuHKGSgR9Gxnz4tuk9vsjxhSiigpPLIFuh/hqa9EMZ21791J6c+kEt9mlVZ
klOjS5KKOcoDYvbFBNlzzvK9Se0NJ9X0oaa8ing7WBk1Y5OBgCCxRggUQQiuMnJ2CJyeEtvHZEDp
rmlTpdM2B0I1geinOxWGumxVFpspAzW0CHQxJk6rbNm1RaqiYErfdqDgRekMiA/lRaVN7fY1Gwfd
sMulzdZF1gP5dfWBNGUTtTI8DwrsIzLKZi0qDxoMy9RaNZWN8FRuw8y+Ucl8XmEI1nnjz2wzkwh7
6XTdQqCZWdlFSdjcSlNcoGXeBiyv4rxkx1XTaCr7ZoeysoqpwMUKcz+vOxxOL4Jqeo7nqY2bEjJD
sASVThkoiCT8EKTVqR04hWSZtXuDyHE11OeyyfNdkMJN8lTiiyVx9Z2s/NYrVMS5oP1KgQYLeZ5r
Wjck5rMqog4V6M0I2orVoFE7XUlSlxpXUx812VTuQ5R056Yur3xgNokLWDyRcsttcj3JFiZhdtMK
zXSN2kGsUGkrPY6AxiQiXKe5c2sygSbZdp5D+qzdmnWJiurWdScm8WFE0qpdJ1n/fgTaq9u5rtb1
PDdXCJTfqONs34K4q0mWRLxEzakZ6jD2eZdvkSpR3NZFCavWvkhR59ZzC/Fbh5kv4rYjAC3LIjtJ
bWYiHhq8ScP+eZ7M5WoYytjmzY0ZEIr9ZG5ZChDbD4lfyQHMpqTptatrexIq3x2TJutXmVtclLVV
qEm5ZJdd2IJ6vmTrGi9+1VdJv6dlWK1QH/YrAEzDy7GsAYPJ9PUshzqizhbatPklCUKyL+r8rUu7
4LizeaBnCyw/uUuSsDu7FVHewLIswYQEBjaiDzNA2v0MFGJWIK/YbHiTDok7rst60/ZT/lzZstJN
Pt2irALUFIRphGa4PkH+Ks3NHFnStltP0puWQ7GiICVIX6ioIsPEGAsLmmobonYzWki6C3T5xUEh
s+csR+U5ZKsB1CNGjwkKEWBvy0EGm9UVEpDQbabocdrk6owU6Svuitd84EITtWymGX9YJHkHSlW+
5yOzx1ObT5ukRWtju3EV+qG7dF2p1kFqX5iwNEAT+LxJRTdunfUZaMilB1YCcAKAwAUyA1vZami3
xobqivucb7yCxUMnVoOs79eSiRbGZUvdyYyuGXJnJQ+FnplAus0gVoDg/GEenVsFM9oveYt3SzeM
ceNUsw3SsY8NW+TWNs2wZTkptmTuuj1ndfo8zw0EHSvhjayljLqhPmaVyGI2URWTkgJ0rpuwhWmE
01pDQF8lSQAVjV7EM3DNaKjSMsoTs7UYLdrgfDltYbibeU7Nui7SfkeseI1m7+N25JmIZlK+t1V5
MzY+37SUuW0SIHsxgkALtHbkGsvOPReyqVduEWUElZdyzVEzZEA92bGjaFz5ZapuDSu6RBOosmyI
6sMLpxK/CRdgWS0UH6BcRfa4bpZtq+hy3GUh6JQybCIBWHcNsXo/lyKJ57m/gmLICJO2HAQo35uh
C15RXAxl1FjYMs3UgQNcgWIp52I1lZOJAb13Ohyb4LkvqYyNJVAbscv40qnSnY+FQWuWyEvOkvk0
o00OgmBmVoYN5Wk6AUTSjKU3k2Gb2bMh8gxKWOnAVDT6rNLATJIVUDS5yXDeHttM0KgIfB4PDYtU
OC9x5mwJIuuSJnEDKfBFxwGdUufkvgTqEo1FmWvOmiBKoYIAUXgO9nUnskZXCwl1NeFaL2UvIzuk
fDeO3StE2LARMsAaCisdhDTLQZ6mYZRAJekUVAgYQQ8Vn94AR4O5gIpCYF/MOZAGMpss9v5sqsN1
LZp9tTRN5CqHNTd5TJt6gj0m5ZmZO7GdOuwiZXp70QA2X+Nx2I0FPLAU3fuxH1zUIy7jts3LNWy/
aTuCNh+zNLPrOeje96rwGo8h0g4iezyGE3she8D0YwlomuHBRiCwIA3dLKetcf4k9eA/Pt4tn6Yq
1uWco1NuKX85qtS/tQzGAXnBxHYsYbKThK8nUPh3qAOVkrAu1HMhO1j+M5Co5C0dMYuXqcGNNglN
Nqj3LWiw0usym/EMVxh34RGE2oTD5PKOAgzh4e0ix5czaY5NKt5VkDWjXs7ZKXQUy1WWVDKaRpev
plwekGyDdQj9AZoCNT5JWZq/SVXO33bDsC2KMYM4AKGagtKgRV/0O9OXMm4SIqKWn1aByIEfgP4v
ehrVs0ICJJCRvoG3HolOZFieMkilsW3wRdLQFwEUFyKUYa7dgIpdsWTPFQYi3fI2fQ04rt0EA/ow
lnm6LiTUTV0Bun1Pm3SFS2DFxNP+eVDbaQ1S+sUcDEHUhXN+2hADyi2aIa3npH5XWGxfAv0bdqEl
w06ZDiRdDkJxMbj3RTpcpaaDCqrJYT/hwZwsC09gn1N7kS12B61r/G1eQZprcTav4JrmmPP2OQFY
CougnSKDUfKKF4WLCgu3xg1ONhmoaScos6+cYcGakCZYT71w29z6disT02kEO/5ikY6t8iTIY+Wm
/nmY1CBaI5s892HJnqcDZ7qm4lJYUm+zSU1RT6vsLMPZEuEyfD+Y5XXv0w/BJApQOgBUKgGblAxA
2LOq4OseL922K5odbwb2ssiU3ZSj3RcS4F8LSSFyszyDan4Fe7U/z0m5NoKH2i3y3TKIGeZvzs4R
A1UfKCLcMhhj3Bm7GT25WmpIwXYutwwKrREcr6HiJF9Zwl7OVMGI6gUSgwH8WBF5LnMgi3fpaVCT
iQDIlldyhuw2SXD34g5YTvuUiUBnAUREmbjxBAS8CYaOj/+Hnv0UPQNOBGL397nZt+9dPCBmny6+
Z2X8SFBQyJWE6jyDzgz6p4gOLxfBq1/wHwEdG8KzgkOfaRm8himha0RA59fdNRQYzJ+tIxL+1gQm
JSHQW8T+Gi2DR3zNhKDfHjpT5Me2QELlHVN6wIRkKrKl6qZJT5jW0VB2zWbqGrN/MDlPMa7HT+HA
LsO7HlIhofAT3ikOD55SLrQv2saMes6FfQuVbZCSRspez/PYxj9+FEbfPgu4LnBWAa/VwYuuj3jm
0Psw6Yty1IANW4iFeb5lMkdRM1TboKFBLKp0iqDYd9EMcAj07h8b8M2McgTPh9f+KNSBochxZ9+D
sfKFi9F5eD7is3wlhpqsaVvU6x8/5W4BfO04eAy8BY8lFQgaPsNHHT+OG6Q8y0ZtKlZFtYUxNQgw
jJmvHe5PcmQXyCfkzGd2hTgU3ytq92xJLudUnPSkfN0nUzyHzTs/ZltPW0CGi+z1VJzyspJaiG4P
vRfQqwMgclVMzbZkwxg1idIB52dJ1700dDxMdoa6MsHbEt451kQWmcYhf5W30K9hlqt/zd3JN51O
HEmA+pAEhQhDwh+516MRKruhgBJkDWVipcId7pooaLrsKmw6oocmE3oE0hJNmJ0JJa+gucDofOEb
Jvo3TQ4QnKbpy1DU7xVUNj0pofUnYScpT2qdzvVVgYDJ4WT3Y4c94S+JGLy4C21k0O71uEMrr1mL
HeJgd969a3Gw6Xy2rZMsnsZxO3J81g/m+sePJHdC3VddYTBXWELr6J18Du92PFojrG1GnlTToJes
tSBFsOsBsZOMixPcDBfGQ0UMSxOXE1CuMuhz4N38HNq03ljowsincWNh3XTlMkSTAtzmzAyiAAix
bbgyw/iqE5ByydzGtZpO+i77F+bjO/O+MV+REPrqWAhVvkc6pGxbDzHQQ+dSQatI9QGO2lZwPU5+
ZYWNWApweZDq0s7ieWugAcZ4BsL5LD/8eCIfC6LwNrwkoHQKUNWgfhnebfkHWxo4T9OTpBlANibn
xLFzKH5B9qXqPWqANv/4YU8tFAYCGTTdEyqgvvr1wwLyf7g7kybJcSRL/yKOkCBBkJc5cLHVzRfz
LSIuFPcIDxAAdwAkwV/fzzKrp7JqpKW6pC8jc8nKFKnwMDfCFKrvfU9tAlhwk4CMYBM+j94nX5Jr
z4vZNucW/A0L639Rnm+fmX98o3FGwjQJQSvGCa6if/wrbTIrbQVqiUfXomHywFi9b4Ypq6PhDtNk
qYY0a5f2X/y1AR7jP//NDL8jur+beYsqdnOY//rOopRUY9tC5IB6nrywlsDGWjbvJIQzV1JBoIn8
iohyCVt2GCfHvtMu9e/F2vJ3G7D0EbMPR+VyWqMxn+zdNi22z0Km431gLQOflC6wi0CoVDkXdDjO
vaw+06afwLzNngIBEc6HmUTdaYqm+G7VMI8a3rOswdBis2ga+rsKtCB6+KWtTjKd3sNAjLCDJ6BE
ixkhQ/F4PKCPdg8t/KTzMCg/p1AMt2yI6XQcR+VAp/D53iTbdu+t8/o9jfi0jx3pHgGkSTxqSb70
BgM5n0W/GzZNf4QzZvGkE67NfB08mLYL9sob7OsGiWj0w13f0vlBGwKBotJhegf27xeMUG+DGZaQ
F4nVSLuumfsSsYA+S4JWHCu21kUStWsJYiO690LDZBFgJss2BXkvWmiYbT1eUmb81F1nkb50q/5q
YNn9SALAKhrDMrQP7RWxwUiTzX5MT+kq7etM0jOA16nLxq5edkCVID8RsC8V1ME3B40QManB4ox5
zbjvpgEuSmzZg1ZTnOvFvflUlzMIuXNYWby7yQwuTtY235rAG2GXKvdA5ByfbMv0q2WoTCAW6BnA
3PAWNOkKCWgS91HXecVCdFpW1YiXMeAVCDpOZ5rOcyEXLzjoYXxRqnmHGakKwKfLj97vFlCZ6Ta8
R2OtK2B5xsObBS0I0w9RTwmH7mlhcV2hNHSv9QLhKauMA2gZQwjKogGDry8GvgPZ8mxcB+3FVk2e
KD/JHMA0zBOyNHikZYspNzfSl3AAQ3eoLKePi6/plSyC7+dmVmUapT2c9KotgUDyXKllPplapGdI
G35Zx3AcK57Anl7GGfPoXIGANT2YXH8Nlr1nY2AKoJkgPidrZTLu6ejUWrNAj+Eid61ny6mK4EMv
Cc1VCL3S2mmP/01e4DKOP2D9Wch4gzc/UC6elNHzofdtc6f8pjnGii272DlMcy1l/ltTM/OzDXqR
N029PkuB191Z95owzOvrosYT6WSVN7R9EKI+exF5wQ0U3DmTTvC0In8HRDPYW7Q4OxUBoPIq5RWR
8uVD30ZNyT2RftNQu4oqGjp4ZRVoQNP/7JWXHMd4JaX1Ta/gpvRdaS11oKPsa6Ao3SsoeFncfvbD
aE5O1/E+JdUGYWZdrmkkWNEHiXkSrDKXqpofw4TqrGH9WdM18+t+gPZVJ8+K1xS8KGQlslT2l0ug
8kD5B2IGWRDurRRFN/rtKSGooCppFJA1dgqjKjh7HuuLTZC9EX7wY5yC5CzEGETZOC/+bsV8u8GP
LivntTyDMAvvuKX6NMJx2+kNE2Rfd+nOVRDLQZp4Wc8Xu08mF/9YOGoj17Ss1dRctha8IRSEJmc2
CPeoBGkh4qW5hF0KZo6Y2eUod2bNo1WFPwOo1mvKdYE2C8bBkua1GsejaVx6NwXm0YDderfV9rB5
1j9GK95C26OGbAtYx4LY7peugpelU4c4XcmhXar2yQsBzIAdpHsH/DVrdCVzbIwDG9HG5LCEku5B
KiS7Ku5VqSPz5fzKK/xmOi/wNbPZbmdHXXtXNetxNlGbrXyWP6tWhxnjQ/ig11TBXiVlrJdslmOH
J+S9Q/DNCZnLSDyi4y0icKusDbfCTsMREGXO1/EhaXRWuw6vMATa0BswfqmFts9Lr1Xn3v5gykbF
EoePMLLx0ej52zr8Gow8rRLkyTL5qP1r/bSG/fPcJPdj5T5ma99UFy4ZDiAUIx0UBm5zFloyZqns
OWB1Vwwq5jnthnOKIwJt+NUtEL3rIWUZ4Pdvsxm+PNt7WdVUrKirbclMH1/1GP4QEE3zVsofitvz
mm73iU7fusi/hzeEivQ8pVvBh97/Ey4CXHPPqb9vNCzjproAbYULvzUv3Cxdpubopxr1icbN72bo
D4C8j0MYnPmi7hnbjUl/7Q1gPkdK0ogO5SqWeSRAOYTBJwIGb2vn7TY75pED9026S72cpLp5/YOX
0c7xEwnXJYtYWz3XtQmBtwxjwbg6uLSv85XQDkdbfTimwUMMr3CO0GTceKIoUld/SOKzv3lwstgz
tVWc95rSE+CKHb0peVTjSVu0xy1u1H2H98Oh5Vv8eyiShXLB+xiGYEaaPi5DljxDPHwCAU7yDmU8
G5lK36ie3vXsdJ5Q1eI3Fvcp0QAxJwM+pU2+Kw+vnorZFaviz/7aB3mQQCP3QzPvAX/1Z4zHkGHj
4WmpemhzOmzFvhXi980azNoV8GU5JeG8b/tl3juEdnfUGg7XgEQ7pXB9mjA8SIOCrdfomtTbUgqp
Adcb97iNQL9bFu5qbzLl4HngsKisspX4iEJiVrnFJ0C4l76YhjLcLDyNTcXZaHj6jqcDCRZnN20z
43pg/PGQ1a142ZKh8OpxhVQ/hM/xiluV4kztQRqdFuaXpMd9E4Q/ag89jBvVFUX7ivsc6r1BEdEV
vV+Yt5zGGLjzCP4Ll4FFWR+ILMd5ToA2uceGQrjUBkAUMFuYo9XRjpoe/K0PodhFa8aQQgmZqoDC
BbQIvPWcxjoubMPmHUDl6wqDL4PwGRf+FAPn9dYfkizqmESL/tUxnt51W+twm4vnNKjTsxjYoZfh
73jgxxBI8p5GMyka2KRs4jWw3/6bDuUAeLYhJZP9C5+G18ELuqKvZpn7fYMSplhJ4/7gL5TlG0Iq
Uq0P8bR+U+ChNHxUQH/O4pNgzssQniQ6RLPETcYD7+SZ+NkT0ylOxDFhq8rq2Yt+DZK++4A1ZhOK
cm16rxx6fpp6g/uZ9A/Syqi0/fy4TIvKwmWA74rrbXAyE5H7GrapQYQG3BPVTW6VBDF2u3kqtIHQ
lX5vo6sOyqBbSMI0R3SlzhdGPjew1z5ayjwiXgmR+yS38H7umschQieEe/Nja+SuJS7X0isTOQfg
4EcEdsZDk5p3a8w3htpTMB9Q1+St7/3a1oemb3CEBD071nzgoiaoQfGZchzmQYjgEFqZ8wFgleF+
UqwV78qeVJCJK9jdnLzC2YJXsnqva+S5fewrhCqaBJOuqJEFcQ/BmCKcsXH+sE5+nDc8YTtc9AIs
ubl3CL/kg2deewlSZ0EJo+1c7+a++tG18VsNAPvoMf6EKQBncu4/OAtcHqM/QxgHR9Tic1wMtH1F
PgLXuD0qBJEaGLluLoMEoYtg7XM3x78HW79Vc5/uTUqStz5s4nKUnS4AIEZZ4+oaPBed8q3m5GOg
+M3S9bsIRxjzfRdknawf4y30MvhEu/Z2b8fj8jSlesubDXTdltCvNgDCU0cjkhsRIk7oIpPY/PIl
D49LoFEZtjk4zSuFTp5WUGa68cp8eIcrkQ8aoZk9WI4v3WjzPJAYr4TjaggZGgWLkSWTqHGBnR9S
XwQ7L6klrsW+2Q29BDGOtES+KL2vqa9gTpBxT8Xm7+kKT0J0XZ/rxtkilTjjlEz7dAWSvXjVEeK1
2Y5e7XqMM+nvNY1fV775R6pdvSf1HMGwQmHcvOsmtmEHv0FkzeBDP2v26ei1edxLl0WBR/JVRmc+
9heq1ucGJqE00dGfCSJOfIZRU0c11CVn8yao+31o39I5gO4UfGx08jMOUzCDHPUoZ7uLuhgemIBz
K06DrEbQBPVrPZrXlQUPgDFMDurvpzI+z0cFP4QC0trw/OBzFjTWwDaM/zxtxGbK+uE9xRN4wwdE
HtLEiEIQOhUGuTWV2l/1Nt4PyRoUSe+eocsfgFx9bkY5RFXctZLPG67LcYleGhZ9W0SMuz7UR1db
dLYEEaYpipZ8SqAGLIDEuNzYA+9DvBkrMTsU7JwE2zVVQ1sMYUQLRIQeKh5tua5x+5C1mQ8IHexX
EIyv/rruks0D8avFwxDhPp/nXVTrR5/XnxONcDVRg4BT4mdtpDA0xWgFfXyK7A0olnNYnxaBPxH4
bxSLYpNUe6D0HS2GccP1lNJC+CYtoxSaUNcGDxoMyLkK5JnHC1TLtPpcOaEF2psui5w4M4aCv9UW
JrOiaOnbQGTQYmjOGkhoY+WXoK5h01YSbg0NChqafewBlVhHg3E2Bsy58T3rkdsIRd3t4qY/z/52
tan3HoFwLWOl2gJMZH2m3rRbFlQh0QT38bahGK5BUkzmJlylLyuAlK5KWYk01XFYNY5fNYtMrOJ3
Z9j3zv9WDUAI5eabnPdjAt5F2LwW1aFJeATwxseoXXcfIcXFLYbOw93GL4sKZwAfaNNRLFZVtJ46
tmJ+28CHF86i0urJkd3Y6l2biuo0uaaYsKMvG0JA5AlCO4UL6/2ARBl0MutwpmCYoWEGDbRuF/xc
VnZSHxTpEIxsw1LHnBeBcvcAKMrJQjNl0XpquyjvFpwGhwEVl8CaAxOe8fMx8KRePWVyqu6qqf6O
3ASe92hQsZS8lzyGXwrT9VhXgH5So0mWONzMCzz2B2rMe8C8LzFhMA9C+dSICdNi5VzpLN4EtYTm
RCL/c3Dosxy6za0BuQSVySce+nf/Hs1xTseF5ENrEAXT0ESGIIaKECIMglr1zQv8PYowaK00gN1O
4jJyVh0D/uIZkxE09YiB2Mc5aB+21fG9bFqSVzW9zGLa1WuUYYLnOen4uTN4SLyrHIaTTjxIF1xr
H8g3Vgp1p9RDUmVEHABmHLc5Ip8EhdM79vGQ5u0AoxvV4hJa8FLrAA2np/IjSbouY2gpDq6GRt1M
mEgZYIWtAoqNNhXiOddnqGJj3q8C/qN+b+fw64+ngIjeljG1yNKCqJ4mWdLRe4jiuS47XQ8FC9SS
TT20qUHJFwm/t+hdhCksTnkuwu1jGu3RT3hf4kKNj8nGXokF8xUtP32/vQvm1WaVu9FdCdFFijmF
BeNzOG8ip5VKMEqM73Ww6bM3B3PejdU3xKS+hEEjo133YjV9mygmRKrRms/rSIolkB8B+ptsUqQq
9agx+VR53fprPtaVD6DeVAfjwGBMpkIWtp4KuRpkGJJ5yTbMRNkUtd/GuQKownqNH9PF1xq52X0o
0JH2i7D7tAUg0HXrkxJG5FMj+hPfkNStQgIk7Kg8BArjoVJ5p9vvgaUF8REHBMWxkKm/d7ijwfYu
8UkaDuJfk+u4wX/16vY8ks3LVxO9d0NgLusggDTjJ/ujRL4sDB79hv0eVcP2KhL+fjVpjcM7QwCA
v7+Ewiu9IehyTobXzWvwhoXBcU2DIwlrfR3dcod2Msr8LlC7BHJSExEQu8bmiFrvkHRsM0SZK8w+
wzVFA+xF7BDjt/BlDfKaywNtJomBcyvCMLmrB9meRbB9YsTHDI3/hC2b7BoQWtu6fG5NNT35Pm0K
EyOIZurk93bLgIGmyWwVPErjfnA+vrlb12JCexm3jiPM9qPm1X4eepMzEWUhuqtsQK6y5BYNDGvf
mGv7jFCEj3mISw5rylE9eHLHeUqylm6fXcfxAyeNpg9Z3dHFv3u2VLmb/CobPFT0JuIH0XtHHuFD
HUI8WO32baqULPk0om30xK7rg7dN4pBJCygKft4V2sZWgviId7MfdEdNYeMB9ph2FWrVKlRwoH17
Tmf6FEFoZZLdCz1AZwg/7ZBeIZUd6m74rBvzfZVxBty/gKb54Cw9UJ+9EK96X0SCJ8PCYzLKR5IG
dwghOPACXVl59J5qSAAhDqvHAXsQiceUNlWMFGda+tx/Fy55rdf5w/qDh7x77X146zUNo+/Eg+6r
1EvS6U82EoOTt8X5ujEEyxVCO+5KE/tBE/YCYWLJQe98NbL+1owbjkUnX8cmDnIXJV9GEmS0A6BI
UXcI16PW8S/QL6g/HpA0REWf655f6MDHO7d9TmM7ZQh3Isfj4deYkcZ5iy3/uSHYsEPYNs0qCrho
i7zCCrbtOyHPGJf6HTfRnerIt3hhl6lZjjRRD9MGxQA7B/C4t+5qVVUwtl6Av38nLn3gMZoaMR/S
GceUOXHEHyuNP5fJLeVN3HYO6vXgTI+CK8FcRKr9lkz1S9gzpGBRzgypEXmcVmSTt6Tb6UiERz6k
yB374mLgLKIpZk9YG6APFCyj88ULmzVu3KRCojiNHlQ7ok+JUOMXQkBytdMziPbPesMoDn9xGoev
bRCq0LVfDNiVsR97de8M6DuiFuQo5gYfR8kxFwH90UEr835uPMx0Oj0BK/Nz4COFFy8HMoYXdBDf
zTYZVCzYU8S7jyxBamL2f+Lq+xTLAiED4H11i9k2XYHI8c9O6zOoOJlZGj+DJy7NwotxnR+N9otO
YkAZ+YIHWr9uUhwW0l7mDg44Rb5+CxC1Ae6UAcBD1GYBNtVuYHVXqFtovb/VnkVcugH+4vfVCz70
yV4n9ns7xNNTaqofyGvjDbGXfqrPEzrydRM+kBj2lHjziNJZhQUTVeF345vP5LNzF7khvNlAUl15
+ClGthewOtQgdLn4LY40mhdN7+MpAh4M71OBYskdcgxw9buTWpaxTPjt2Tmwoant7+CufwMEd65T
v0JvSu7BPd3TdPgBWA3qDgP+vKBzbwU1edPX0fOE6MteaQFNIN6+IYfksDICl1ZTh9Uxker7FsQK
JWrgBTQexIcQ+aia8MlU866LFr6HGnAWoYYn7UWA/KJbSiOVO3+9r2drDhzJ4EKLtLm4OrbI4scP
jR/sYiQZMlvze9B5J4+a15bg/3cbGzCMlmb2gsLzhuTElxSCmxE/WceuUMDhA03pXMJBvFg0qzg1
oyo94bF91/igpbGjIUuYNpcJNtNdA2k7i0i0FKLt3gQLjjAWEEfXELJJE39wyb7BKXgJnfgc1+13
ncZRmXi3nOtCvVwg7AgBlMUlJl6dL8H8OtrgvUU25WyFWvLFp8MuhaSIDAewvA2aGUhrNN20KkSX
xhmcruou2DjYUATqoTToKCAHL5BujwNQl3qCMF8H0/ZmA4CGN/56e26MjX9WwsNGgjptw3OD+v+L
hNVNxqSGP0mcToCCTRTkC76rYj9vK0TpPpr1Yapt94V4T/8kFxChVeVjlkWlusGGjfo5VThQHVAs
KCexwcwyAvdDCAdfc5FT48UH9M0K8+VQP0WCyi80B9FvO1Pvii54+pGudfrcYIqGKI64cGWuyH//
7BM0crlakZenHeJHmT917DEO5fJlhy39MLEm7Z/Ex9+2yTz+aVT+uQ7lr2Hbv2Zv//d/L8f7PwkE
/z+Y9Q0jRuAO/9eU0t8TJH9fM/wvtg/f1sn87ef+CTD5+DITrIfzb8gRUiARNur8n1jJbZkqvv4E
2zrxLSjkZpH/HWDysYb1tvka/6ApQDh46v+ZK2H/K4luez6Ry0C+BDLSv5Mrof+XX46kMYFDjwEQ
PxZUyD9ayK0dpYehEPZpPH2DGUaPyUo/eSDSe0qwpSKY+HRaOluXdbvuZzGP77pz8Us4xn4pDPQv
LvzwtrYGGqJ1OO5kGac7l9I724TN+8BSfJYmVX+NCBC6W23zLsqrP9Epv5p4hlmKnTU3vhE8tXaq
/1xs2CCJIPRjOpu7bZjYKxvhNhl4M7vBju6sdb882rj+Ip1zMIioBdBp3phn9tLU012SwNcGVlmb
I2+lHgpbyTskRK86ik0RVHF6rMWA5tKbxvQUTv18iEm/Pfkqbb63wc3AXQOIVR7n7fUvJ+hvH7a/
7hqifwBMf6UFGB51cItcA8BBeib8pzfcb9AmEF99EqMRXoX9tB+8ZttVFQs/kNPn1zhBOvc25l0b
jttj3nzvw/Kxu+ti6n+SXn2GkHyQVwVY4ks2xveyspvKl3Cuf4ESx2Qxqmg7ELY0z5YN2ETg2w7d
JvYANG99lHjQz0ckaZrRv9nr+MUB+8+I/VG6HWI3pXknuYRyI53KvEin9SNNKscPPff1O9LFoIPb
un9rZuIR7KPR8XNjzXTkykc2ubcxpkYber+Q8OvyqJ7CrHNQ5YbUE9g/glErgZh/aYbax7aHzTsz
iV/HIEVfdNAf8VeFlwoqwl5v/AQ6vgUP7kjRJfMtRkPSUqL/LqCMzIhAjk+TpGglZQxEWkxVEUC6
jKqbVEDCI4a7vpS41ve4LOccsq/CFKMJfUpX2p173uI8iHqo7yoVe/CLcb0BJU8esTbpNU6q6jBU
HinDhbFMMWqv1Qb8GBYc7qu2H/Z0ATgE737Ce07onBRhhzAq/Jao7AeRRjs/tNtYKN1vF4E1OGdi
PIv5ScvUlvNE/Id5nmwZiOi3Pxh3U5rLWUFJ0QhKl/5EpiMItuGwqDWG84RHkI7hei+3tHmcSGRO
K5/chXPsOBrHNjpUtPpG1M3/SGT8CnR9ufhywPwtE/Y8jg7Rh87D7pI2nJ8TkqKNISMAISZVAmIZ
xqre/OSh8rY0Li03SIAE+C6gT0KllxtUiILiJ+G3BF79VGFnUxtzc1gqpKdpMsXPcC1M2U2p/xlg
vodi5Lzez3rL0m99Z4Pv8rZlYCeiRCTomDwfizH6JD4RvLB3VcUgMfw2ZeaMsojhA22R/iVDX311
89y8+di/9LJFIUP8U29PyU1XiCud7mOMHE9h3QZrkY5R+NgMA6kLnfL6AHtxuQ6IaRYB8Gws4Vlh
K/ABhDVgs+gFio65SNtPwPe7GpPhvJqwpDryC4DtX8jTDO/KswuyTmP91NjR23e9bvY9BT6BsMGK
FwAFRsYQylWy7r3O2F0NtRy2UwC9z4zh3QD9gGF1yI6gX/nRrrcEEIv5iZu+6suFbhaOr2A7tc41
9usIc4i9an5TiKNJ33q/ohpx/J0NDL0wD0+o7mbIg1N/N+L9+hAhEkM9StuvAIAXsMwWgjhTWGI2
MnM7N766bHN8QV7XR3x8Ts4y3V4i4LH3OPC6dAzBG46NJT1CTZ1EUkw8ztj0kxHPtACkR3nokg3d
JPZBLH0wXNZwUFiMFfJSLL3ZYT3PDh4GQU80il2lSHBNpT3JGZmuasWqFcuVd8XAFbwxUXvwfEKJ
GIjEv4AIQDwJzkpP+FtVS3RoofHvvUicSZJ42KOCLygL0gnLl+bVuXuHLwzbD7OGsTEn4kAdBglE
YqYjNJ/hHJEAbMxkg9d648NONvYj7vS16dyrcKkuqhsVsxqDVG574ManWUjXI4UT/otUvXcTXKC5
wStqIJzgFgclB5t6WaDU3NTIFEKCCZB/cxsyDCJMsczJm5onCyn0HbJ1lWFdFJIv2LGGkZCPcYrJ
ROxFpbEVrkvSLFnaoazG2TsIMGmPHHH/KXNrXx3Xqcewmdo0W2WqTmmQ2BLCtHe3iRDDYQ3tFEY0
znrkzwesw9G5ni3Pwwois6mVeQkJLWcLVXCkSw/LaaAgSxbeFsh4sSPMGP/BX0NxP/ZLV7oFuzVU
OM6fyojfo6TTk0pMVehQQS4ybYhOt+/gl/HWHtjs3rlA/ZrUeN1wsMvEBqD8iftQUSsfJE+RuCfz
a4w2+gsN7oBWtquR2JT0OqwADnmifvRxtz3iS+qmooHoic09KtohSBmd6hGrPSo3qz3zW+RXEe/Q
yOVmCw5VJTdEU8ZOjVmLjUBZ0iHmNnRxUsIBAsTHtrshJvLSyESukGbTX3UCFzHticIKu+BOW8S+
VvTkeGKpzubW8HKj2zM2GWzHNJm6DxZ0WI+1QJbN276d7qVy85PfM4zmNbhQiFwTZCdn61s4cy7A
grKcxOK1ikJ1Dx+BnykSVU0On8nsgdsgV684udBtRBaROdCUzGIt11J1dyT2a1GEypkhH3CHntuQ
I0FhaQj32lLLHnvAmHdg58Rt4UCt96JpfwKYa4tgkXdR462IBCFRKb2myeAWthiqElcEJPJK141P
DAvlYKS17xX05hO2H+Fm0DV9wJqWGkKky5CSXEpMqze8Ip3hxo/2EUoXxuuk+hXQ2SsmbJ3Zi4Ai
ywivMMbARuNLEDUgoLoAy86qaUxeZnw0nvx4si0yrlqEObab2BbpSCbPuk7oVSgD3de3U13ntkMU
aWywk6NXYkTkNMFkv8peYYvTTb5F3sxHXK4mqJwMa+t2HKHNe1dF1T6dsF8wMnGzp3PavcJqtQ9t
PIqnJlntI11o/3Pt1+boPM9d+pYs5TpOtICbAWRkcDHzTpDtmAFa69HHP7ZwqBYvnXbYaMbA5T12
t6Ua20iwX8OPpm0pwk25j2jAKqwjaMiuZLctHViSOJUxgbqXb7ctHvDX4SUDr8GWDwm6ExvIkpvy
DPPb0iXIRY3smMZXotzBXZNHxDzrL+TG9QvScsEH4At67m5rRkZYCKD1BqweGZLlE8ttkfS8LScZ
/9hTst1WlmB5y/iTzXRdjrNa4VbVt/UmaazWjz9a0n9rAPz/bLQLKAUq+19Pdn9d8vqX5Mkff+pv
wRPsLAWsjMENcYQQ+yJuX03zt3UADHMbRjZYEUEQY23RX4Int+1NBE8UExsmPqwvBZH7n3NbjEXF
aPvxHQAoYgiuJP/O3IYkyz+xv7dYC9oosOkIMNDonwc3bCOYljmaf9sN01HhAaZL8ypRwWXrTHoH
1KaHVdgBZoS3vp2smu8xys37kEzYOzfOtBwcNE3uG30YBizV8G09fdNuRfMoEPvtNXL2lDG1FzPt
/bzDNrVdknYjrOSp/+Gg9yAjRhrPZBK3wqVdu+Anm5CQWzttv245/wPbSI2QLLVYFLWuYZPmYeyC
C/Yekedm6apXbKFBXBhp+/UAKCn6oNh1wnuhzkMrcZe5JUnPqmvIs0YQBSueOCKRajDti/INRP8h
XocGpGqIXCemgA8m7YpNVlt6xpKb4AKs5UL6tIeLA2QJ7UUDMDTaTLMLEUEBnEywW+SUDBQvCbpk
n3nq5hZKrpFp4Ii13t7QkEIw75DkzNiIVXK5aPCagmAJLo0akveWIo2NB86BQic23WHB6hrlWsju
hE5x+0iI176AIgbDIKclzTYP1rlCwqWQQR88wtTsi6AD3Izkz/QK0TTK/ZQFL3C1/oO8M1mOG9m2
7L+8uV8DHHA0gzcJRB8MMthTnMBEUUTf9/ir+ob6sVpg3rpXUmYp7U3K7NnLgdIyJTEQEYC7n332
Xsf/8AMtOE9+PN2mMcl3ghck5NMxvu2MJriaUJ5v567rAQ7IOr3R6Mq/23Vt7RNNjTdAY8cbEZr5
FaAWsQl62DmsdRWibeaL4KYbS/vYkVvwjJrKXo8SGLOD0Qw7KoExWwUcXvYDkjimFhGWH6IdfZzk
jZXs+962bju7Nu6UH/VfMhlJa03jywYe6GQO7atJKy6GPfFRoKgl/SrAX0sUMtOyQybSLOS+C63Z
UxYGGYfE37Uv+oLF3koveZlOFA2ZzLDwOEGS4oZQYlf18skSRXtVhCjjhZ0lz0rgSdZrItVd4XT7
dPTN0+dbp26N+DjiKFm1irDypA3xqc6a8pKPmc0qXjb7IqRVGKSJWLqltPkMk8pLDF/FRKmEecc5
RLGFC8ZNmitZWOFNMlFNGRq9HV+npaUHMtzQH2muo9TMdlY8iA0RgTn35KjGE2DG+I7eBb06HIPp
hnTi8Kj3Mnvtq2EKtvpsFV9cx/ajlYpHL+6VQbM/eo7j5jZ3cnurFncxYAVnq/cajJreEBMOEj1d
aJBlnH4YdPs2c984O4JwHH2KT/LNlKpxfKYSh1ZBZ3KJs4fDuYGhIxeYjr9gdbJoQUTGBVnXeOBg
YibwCb2uiQt6ga3WeNMC7fGTev7oRGqQnq94zYXt01rTSVA7Tgv1J1NxfLGiBOwpPZL8ehhRgGit
TWvLn81dK8WaPG98lzW1e5/p8d2QpoCsyOQ9stNrmH1VB2WiWThFI9X1d0VKOlzOazHCklnD6XAH
4w7aKL6MKguro2MX7jHwA4WMVBvDLpKO/2wlAZVbU9TVmuoyGRdLHCK+PR6VcI9maQQX2ZAW4dRe
iPOAlxFTAOTmCiVqa0UYl6cu7bCoNUP4QNLN4sJaEqQVCxI2hzTNtk1TTkdL94tvVTNOX4YQ014X
WtYC1+qgAps9Fp6VhRnoxVFxCK4p4hJbFNvAG4uo+toNvqiW4HxTr6KwXUyDhtxMTqZ7mpCX2IYK
2kDTWmFYT9dm3b5ksCReIogua0r5+FyVUjwJJzZXmW+NOKhybA8qLNP3aYw3qC8QgmMrrQ9mMGxS
hrtaoz5vmix1/CPVfOlvsEbC8RitYE9lAyPEL1BvdlFG1ms1VKNzrqcpD71GtuaCa4u01RSa7bXe
lAsHIlK98rRSOYdghPSAIXbYRobAbker8Jvupouo4Ra0l4l3nwOnSO+goxE2LvJpfE0jDCccxnUy
CahDOy2rKCryyL/ugiFdA38tsTLD9MMhVmLLrOxtwMZEu2vyu/Hi1GlB5prGctbwSwBodBs38Ddx
/Wr6lZxaufGpsrxhhrFgY0W+C/rBvJIZLivT7S5CUpjoMq5wXKdSPDc1+Xg2adq1knHajnFbLRXd
5OvWeuC54x5M/Ve3T/K7tBtpY+QmYGxJRhDy3szJzIEpbaKrdb49nJoZ4oDq++qsB8mxA9bxjjbh
XrrKJBYITo2bfMrwDTi9me5811CYZPJEf6pMZ7rN3LAGYhb14hBNsuOkaJlbH6/FlvcVOKugC0hU
NEY1HbDKIE+RtmaPLGs+QLt5DVLFl4Dx8S4ReXPpajbfVTCQz3H6hTIbmWywcezjvBvy+FgIoGfo
m8ld6ObhIedLOTpa/taYBa3AbErW1Cc0T0y26K0jKRDSPhLc2snoMQCJ1l1aG57ty3bdKT26Vdgg
T7lBKS780gOaHR26XsdNF45XLpnV3QDk44TIsOSFbOxRIphWqZ5dgTkCvJZazwwGf5+rovYKf2jW
yMvObegvbbgMc4oTGEfd7G3oLIMPmm4q905ItzQKpvjBSOJ5Y+CEPGLerQ+pg201rVGBMl9a7ySE
oCGwB324YuzeGnAZ9Ur3tY/EmL3QEOOVbmM1M4fZBk+URJuYcnI36f50KwqA0Rp8cS+0oJ43lbU0
5PGY0QX22SMLdQ4X4TnrxbBQLrtj38fNlUBHChbsTkVHSBGnSzB8XlmdsK5o81LpFmH1Vghy+8Ah
bJaHlhutxSSl9NxYqTY/mR3ME26n8hhoib0uF8qPFcQG2RwNesFyfEkq6JRVTned/6jCdrouZWns
ezQcKhk4OSfZxc2xHgLt1KUOTdLCgHqLnfEW1gBoDd38FvlBdZPppYOnVxFeaHMA7UEwjJ5vW9lt
K/qVn/mX3ur8S9F07bqKxHTdZLVx4A0D7aX7toYnHh7F5I4HP3AjCBQieyosjEFzlwbHSiDx1NQu
nqm7T03N9ilG7Q4Ig8ZClYviko4Bi4dgbWu1qmE5NfsXo7e1fVxb37owsra+A5PCzxPrXU5QnpTe
W7jn6Nh6uV40V2M0dnuOtpgi3OotCOFPSGSfjyQd1X6YxmBD8rc4S2X71xOC4jrq3GkT61oBE0TD
vCeNmXu87MCKSNSSRtD5C0bBBpm3xvzqxOCq6AQWJ7rX4k6wstWenSn0hdx32GJ72/a0Rmhe0XZg
xfkUrhPYPI+Rr7ZxZRztKiFqhDv0xU9CmXqyLKuj3WU72xB4B5Qzfxd8uWvdzFltDUuf1nUweaKP
2Ls5Msi0Nz1CF88xGvi0t9renaAyCGx9UYRVxcxlfrTMJthjlHD3Tp7hN4gc+hm+9SqySF8nOF3O
tQFb20WC/JoGPJDOCF8kSOcSo1cvb8JZ5QdHqnY9NMLaBI1A8bK7e9NCuaIhv6SAjDvd7rpjNCM7
hRjtt7UQ5jlpwsUrGtrOxjbnqvZgqcwsjvrIA+3ouIydgs8FqXIkcxFlJ79y4DJ0g7ZnmELNg5SI
4uQWPZ7Bvsxf7RDtqUqnDz0bUVwH7LuTsjy3GjYkNDLPVknKKWShh9Q1jugkmK1raacYllTuUdi/
24WjPUh4JpvcEHh4ZZsfQ93s4KFlTX6T0v7m1sV2VsMb4VSBEbI0NDCYfjQALcqVcRgNFwE9Gh4Q
QcCItCgtCS69TddzVijTkV2k4cQcLDCccaxsb2yi4QYVd/Q4FTj5ytUtHIAtddhjamiTyZyG1jkV
Za5d2H4CGlWtSDk9RHVgegMUmHujKezFYYzZCY8ZRd2HTuaiXZsVkzG2eTVQjKi6JlxQkr6Y1rbq
Q8+YY3EeBSb60TAOWUuvAUVwPISdXl6m4Z5GcrSutRkVNsQfEqRt/AU8YruRTjg+skVWX6GcgOiS
bbouzJFZBUGZYujTouRgdH51hllsPSissmTp4IieCY3lKw7c/h7n0LtqShePMRVGyKdPj5+D122L
RePUD61/cfPUDk8xes5DJUvO/33WU6Smpp0427pqHz4ru3LB/uMCikq4Wl1GzBwxZMA+V1XuLs0a
LEIdpN6a2nMOr8nzf+cFQaUHZjHVO6jj+rF27XiXJHWDHzevX6Rdv4Cpkg4zIrKKo+KU3ZqzCh8a
zeXy5WyxSv7/VU9+6sP/NyJl0zW27WWQyv9bZfl17OC/lZZ//eU/xBbzH/REaUAvKouEcmGgdfyh
tYBXdJBZgDJyYsLEv6gg/5fxof0DEcW0bBuZEwaI+YPU4vzDgpbh2PwmnXdX/ZfGw+g/p6wRgVCA
TIPJMACz8M+pXzq2dhdqA8bFDzklWwD3CuxXdGIZxUYrsMoCLwlRVAuwb0X7FgiWmbCghZK18Wtl
C99zhtpZa8js3g+f5l/0kokU/aQBLVfmLiITqBPHMqWyluT9D8l6ORZaC1EqXsWVNl5Ca4p2rk9O
Jg8qA08aDUlHp0MmzLzcJkZoHnx6DDd1UlfwH+gIS5NjL4eL/FgRUt7UmH1hKPblF861ML6m0VmH
UxXtpjL9Smsj2zgIIfB8lu6xbJHUwSM8FVOceXPdoZxEfBwNSUK84hnmoeV9g4y++3ytUXevax/S
b1LHH27SbnNVcRmSjlw09SVhkJIeE5SMVTbp+jYoxidhT0+oIdfsFi3QxgaXjYu73ZhYccbQ2FuM
5sETSsjJtwGhsZoYq8LGrGOO3XVXaivy2flqbodzEqnt0OWux8UROo3irypn1EEYcMF5qp7inCOY
ZpCYywtC0+NIgg3f4DYncZ66pOPZu0hmiOyGAOYaG7O/Zi6NBCTIEpzNnXvIyr5b9VXwMZH2JgKf
MRehq4u1pfGOljdhoePQnWmhlJtBj2CnaZ49p+Q23EtA44AV3d+iFRcb3e9e8wBDcVfPF+Zz7FQ4
3YA/u/WDgexYQdgLe/wt3a6BJKT9UCYTJl8bBDIHf3dXu9P7PNQTAxTUy2y4FM+dHLyWFIXf074e
q+SJM+JD7vZnBsVse1mUV4wV8Feh3xN4VD1AEJski3RpT8x89bKgP0vSM/FfkSFSbwz40nBZLQbW
euFLUM7VbkdGcZSktlrpme5wosmUbXjYG68TDPPRbf8mWLpn7YgyYLsA+RarWTa8CEyYqzqQ9apD
hGAsTPxm2xAt00bfM0sF+2BUGivdjT9gU/KziWBj4qagagPu8E4y00YzycvWZvw1VAlDj0gXNjQs
kPzCF3DMe0Nfur86X2qjM/wmxuN8oeuFNZ4wxqTDQBcFxc1nIrEaOBqBnPugz/OhCe4rNH7+j3Cm
I8jLGt+jAxHOGk9VaSIT4LHDCq9tuPntXWvNr1pqNKdQFPM2dsmbRu64BF2dqL7idBleG1URPaZJ
0m+jplHPVH7VlWZV5amU3YfMGpfGiX+lAXAggJspc3yrwjR9+v3S8bN4/M+FY3EfScdwWEZ/QVbo
xlDr0cDCQeDiQ4vEzpk590a2uGRZfRuH9U3chLuphuD6+xfWFyTFv+0vNso3/UjFMUjHX4C56ZfF
VCchSa+3eTfi5o4kwIHJLdfF3KzzjDq2bKKdgWtliLRLL/N90kiczA4Hpgb/58oQ2dvvL+dnNMmf
r2ZxR/2wgJq0SFuAOO8yUS9tnt1icqThCIuhw+v9+5f6dRf5fOPW4uaSNvBcifXsx5ciloRtp6ze
80R+bRh45SVpHW00n6zJ71/oZ0fXH+/JsqWi+YAVzdR+ISj5oPFaEInvekwKWDoZHNRQMjjAeEhs
5OViTuhOzX8DI/mrD/LHF13wxT98kClFR01P+535XzzBPVmk2Ll2BvsdDMT1798fBJs/30OG7rD3
mUrXlk/05xcrQq2hIda8U+BNa6Ip19M8f3OEdS0wJZxkld8geWOCKjCNWOPO0e0PVgGA5c7RnAxw
5aj+qbxpE32VRnI/quqIjHDPKWNdlTmrNFi/V33AP53M/RlyAF3ZNp92mZTHOYrvKteO9p9bJKRa
2v09BrjEmq9amskb05rWVWcxI4oUNifm6RVGxVtMvJaKzchWbj+RxAkwsKL3fBQjEeLPPjLF8sDL
Iz8aTfY9K4drVrYZNkm2GX0L0gRMpj6v7jMcwKu0d2jqiuRuyITh5Zl8I3D/weQGsPAV9vApxSM9
R/Ruq+gNyMkjJ4VTpcWIPPSI1qCk2/VsMYksDKl6hNLkpqJ1vi5DRp4Vhltuu7TZNWV3HxewQCz0
m8Gqt1gYU6KBvtjokwnBQY/Pc62/pkOlbdhShm1VjgZqVDWsZ9OxaXQUJV1qJChIGJd+1l8+F2Gx
rO5kZ9kUWkrkvO+stV4WNPi1mVqiNZ6x5JM1gna4ZnaYTaOHiBki64yrgqOHr2XDOuxo9WO+7DdR
n99B35crUMWOl1t0HQgsPSdu/UBmPV4jN6AvzCeFjQe8Lst7NpGpQUqZV4U2vyTRutKAswTODT33
A1ez9B+i597BkTTnzFCwm+wmdJ1dQCSdVwsAKTIugDK0WQZ44YsLt4nCy7uU0Z24cLNtray+DMK+
Hlz4IAHxMcncwNkpdlMkLnrKwWbIP/KpO/iJ2puWdjWRf+nq9Gsg++cImkzQq2BVk3RtuumbU/FT
1PA8Fg6IYT09jr6P87IQy3bJZ+P27pvKra+AXDze3HUrjJntrNk5zrxjZtS2783rIZ3uZDydqo70
tJnlz1n93SDoY0zZacyrq0DxgcSj2Wx9ROpVNxUpFJfqLgHEuQL5Eu0Ks603VLUbaCCHccTyB453
6/cM5AikM+8xpiGk1fqdCPvXuskfauIVBhRcpYotq9W4Sv0E9nN8KpV9CUdr09r5g0HyyMR/v2I4
IYcWcBe6LOm8+GcpiS8VunUABvsyqeQjy0O5qhn9EGlvrd8QTQK2xoATT3XaA03Cbe1U35LGvSkN
RDuSgtrKZ3gTRhlx74fdgz0xf2NBTegtp0bGCKh9YcLlymNj8qQY5z+qQ4q2v8a2fwIAf9nuHA3t
RoNPCCLq12EAUZonUaeS9z5ykgN44B7EkkONujQV+Xfvb0djvK9b9Qg3/Q0bT0SKMTXWJITKrSKn
fdL8vmRETQCALQJ86TrdBwMD34p0fkqh1Hxt2xAiMcYEPLhmvEa5RV5o+l07Ck+f7NuW6ABJ1/Rs
DwtCoVEh/I/+obE4l/YGEWzkYVs+F7BWbnQI6Psp58+NspnWgI/ylZPZrUfG66nSx4dczKeupWqP
M8l5yR+iK1HG/J1K7XOTiXmwAs9hKb7HADWrmMLArHjUAlK1qxJ5czX35I6CPrgOJm3v6H1P0pD4
jFF5HAQOKiz26XKaTdQGCyShxB4ltxy+p5YiQXexGIHHmmytao7r/iDOQQ/z2gQPqEUhRYV57ebi
KVXpJQ5ZOqr5ph2b8ZI56dfeXibM/6uY/Yvy689bnqkzRp7ilIOUY2rLhv/DlhdygEyNOP4+SRKG
AWHCBYd/pn1ZUQi6zt9ssH8+PlDgOTql3jLJGDjjz6+WVLo9E1l4x7d4XzYDGN4ifpnd+fL7N/UX
5zNTcjZzlqqXZUf+spH7cVAPGObe/dLaGQHJFzgekGGilFbDdK9l5b2jiXe3rw9I2Q9WMD6kiLH6
XLyS9tb/5ijz6zGVISRcDG8ZUCH196d5/YePOEvjolaqf8+7CifVbH4r/ATWevboXEhjDqt0CGo6
wNP59x/Cnz9rR1rg0bF3YAlh0/j5s1bMVQA41TE8EZbTSmgSJCKDTr3BIQPz+5dCR+CH/bxC4LSl
0MDs5TgLyO3nF+snOYvYpCGLpJZ6ED7Bc+lx6dEnNnd9gCwe0nS5alrrOzy0ajXbCcNoKME8Fi5m
pDJtiOlV6bTBM/vR2fYXRlkKanc2Rg6JPgUtaOwxDYs1+5X/pNf9cAbYcINzOSH1hpMpsIrzLIto
py+VSoPF8JpAitqnknytKY3+agTZv8HlvHYqntQkleaBMNwr5hifRgLnAoYprOxw4FFuY3FQ7tgg
/A7RjqN+eQMlhbToIA3kOmJtyOvZfKCNaO1yn9k2GlJDQBbNkyYhusL0M3iUDFOiZDIPiEHlTZ5R
/5HIVXu/4At3qmDN7IvxFiEjQORWV7T+9U+RoqqwYvJ6GLMs/RHze3/+XHZ0jeVMdWUO7SPfZvgI
14XKG1rbIth0rn12mU5Dd6xWeyOrUDLm7mtd+/lmDPwzA5Qsj1lk9iaKQCY2MWZ2iH9Wt3caWs+k
j8wLXvrs1vEpv3v8ANT/tXacRuieWYn/PQbFSModn0rbIbeHSA9uT5KocBE+RM0X5FtLRtzFZ818
i1VNaGTPScW96mo0jZwl1sP7AW7FtcgNh+gUtuvHG6N1zO1YLPCcmFXaL5Jp7aqCDrzZEFoED3Bl
G2V5Y9GF8jQGg7JpcyV9y7ytkiFNzMYoS9g5YGcGLjNaIDs5M5g8O2bsYTa19W1q1fuuZ1pZCxVA
t2PGbA3+Noro3/c5elMGsm0VVund2MQcHUXv4j/OAWtp3V3Dz8KaGhhrZyTSEBpQ4npw3kFYS0/I
5Gvfg+YgZwf/SOf6P9WfcE6p4BkbtYPyl3nh4HTnuFHf0QY62G5NuqoNB7SQX6BppYhYn9cym37y
RGM4+4jxRO9mVPejpqxxM7lQZJB+jD9ewjTYEi2bd90DKFn7bjRuzdb9DqzuqwkJbZfnzTax0vYR
Kx7sEkYfQ/t/H6EHgK9E8fm89txGBekMlDZavpiwww9TNXyubk2HecAH/Pl1gCAmBxkHahmzjJtB
J1AXFMPbUNe2F5NP88JFouv6bk1zpziZCR+L48u9FqjZGxQD7crK5ekO2lvFMkF6OUMiqnjZsOZM
PRf4GEsmj2AZDTzLKZSHx/zKNOV0UEI3NqGhHWZgBSvTENVdpuCy6YVPkEba0AKiNRZPmvFBeHLM
BLMto1bTPiS0izsiBlTatzNZQYthvBNzLfUpBMmj+Jo61sKNO97004zDVw1eU/NX7QnHGU6S4uA2
3EuGb2cbySHdw4kO12kR9uZiEY9oOp5ytWBwQK/jv8CFUPEJWOhuDHbmtlpuCj0uqoUfwEvCb+O4
oe56p/hgJs23YQD3Q94dQa5mbDCQP34okygOpU2WPyrdb1hwdYYb019lhoonxJ3dWIc0x6wbxbjk
o5Tnp574wiLi64FKAZwN8sov83NWTddDgt4AhJE7E2ESGkr1YudQxoFHoAzGXCG4Gxbk5jTi1sQh
DAgCyxLjrdV0h6FpXvV6vHPKXu4x09Q7x/D35kgkPgVcszBC3c0cxx8xyY5jCKl+X4+YgXnO70sR
brNpJK4eP1dt+rWho7XWDNq2osy/J472kdXhZSqrG9pmt2kD+EAsuIRshNg1U9x0A82pMmfZ1sEI
MBwGPffzP00D07TIIG8o5r7VYPlFk8iVMas1ozHWhcgByggmjddZ5rV0LjEnA8SKfcMGe9jfAXIi
yZtLqibct6vAJ+hK0oY9q34RkrFyfm9sQDFcmMyDGWcaBXwcV67jiJSMW07Q+d3lHOl3HLbjgvnd
eqgz8tnOym1rsuC6Gr6CAQvMzsQRsCmZ/vEQcFczwU1sMvA6G0IiW9mzVHZlXxwSLObof8ltbrh3
mp+VN4PLI5rk8G9CmPX1wPRgp21eXbA0mzifMq8yuV3hqFzPffTmN+OwCduBaUMMCDykofbkxOiK
AhfTRhjUkSns3G2d2j7TY0FyGRr7LFWKQ6XK+ZegDOH0ATyf/c685eTs2Kbat4xE32H4Qg7o+QxV
Gmzw7yMoRJx6cQ/UVBsIq58rXohvadebjXWjcQjZdxbL3u/PFn9qXODLNpiRZpkwwzk4/ho1y0KQ
qP1ckmZL8ouvrGtGD3qQUB+ZM3O0lH1smMEZL2Y/hqacO9vczegdldOuNUeMK0fk97+/oj8fmZcL
AgesLcojEIefzzrSHLQgMrmgUho3VpYdGTF8PU8GUwnLv1GJllbUr+cqZF2XWKUkcGd+DrH64ewY
WVOTuC4B9AZjqS/cF7CNL5Fl7eyEIR8AJwYN26if3Pa69pg51naQcHUIBdH+hWfSnzkfABYBcDN0
npu614Z8YwrC02j5GK66xyqQNOKz8ZvblV8IZGG2t3FrOPsA1UZzyqV4XbFf7Umw3IKShtyV3hTJ
RfNHZBmtxlXhPjb4gHhqjTutaTmuleuEUepk8gESRCM2yHksJHyPfgNSi1Rdm3oFxF5qfgMbxbSs
58TTgqzGGOAm21HvdrYqwEgEuBIC96izrJVR/8fx+H+yYZzjhc0N9K/y78/T5BhKnHb/+39RI/67
jfnPv/VHE9OgiSmpzxyN0QM6lf6/DOMaM+IkpSL/KGm73JWc8Tm4tuF//ocp/+EwLAFY9T87lfzW
Pw3j5pIdZhAwFSb1Jffwfynoq/8qmmoWP4JVCJmFmL5jLM/mD89DOOjTZDL5FawtOaBWxgTNySId
8OQyZiSqFYyDpMeo3bv9vjXx1E2C+T5/syY59q/FlWbrDllOx+a3KHp+FW8trbZJVs7f6zjU7yHj
Y0/TdAALFgIpXk7yLXNtPncFuvXQoru1ZdqtS4A/J1yU29oQB8saU4Ae4U3c6l98iaZmtzVdsrHu
r/x2RvNRBcDpvGOmE3bkp6SCPFMn5bKK93F4F4yjfe0YaYsAQfJZOG67IWdSnjH7YMeprfrNSu3q
tkiS6touyv574zfzFsTh+JEiMXu5GYYpJFX4IVkoK3tjUsJ9Qcc+ZKZMrxMGyu2jsGcDshvMsK27
GvpZXeEnDkuwywUaHXG9tV2X+TdLy9Q2WiaKY/7pHwbUO090tf9NdVmxwSY9rHunUoBdU5Im1lis
mWcH1y1m9EMe8Iur5caZ3HQOQhEqKGJ1d7TCImWaXKo9k3AGeDaH9SWaTPeaofPapvGZLQ/PlNbf
rMf0HA2UIllaX5SFIbViWMvGyJjXo7XCPNJHG8RKIDdt+zyftymxnJxAr21dVbWfrt3aYPaK6uWm
7HS+lhEyJ5ZHmBMxLrGxrAr2yCBkTGwxfbOGBauX2+11MmKFHQJJbihGzOgIKnpR0T00o/aVXcu/
04Hyelpm3jOt7HVQ0X04qqeK9K/Wky1CvYSF5w/fxhJqTld2D1ERqAe/hy/VZ+E9UGflGSCtj4lI
1Q0ucpqwhSW2dTAyQg+WJPAmrHV0nAo8n711lS+jAptMNw8k6+gDURwOM/if2NXbPaAndYuQBYdO
i7ONoaxkO4/Qa2w/A+Dt0vP1tFo+we0L127emIcg5SonzRpvUVrWDAcRzNTL+3tKC46N8VlgEGY2
dcR8qM7r5vg7Rtmn0SzdjamsPfAx5DyLWBIUm6ssoAWvJ9D/mBRwExGo3lWQznAcxV+y1nfPRCOx
l+U0ZeOSet7WyXnrTXyHX3pJl1pnIRvqjw6qRyOtA5JK9qppxeIZHyQNC6d5h3KXhWtY18twQtL/
22DmAA+exE5PepzcCUH/o6ibBTdlOGIvCvtNtXa07QnkQ3y1SUXGmr8XU34yOuN7muG3IaMCLc8u
24NbtR/Sz7WPUFNf4tCSN6nfmRzgGFQIOIGnqQK2dzQrx9/OvXESgz32ixm9hu5cu2dExu6+DwET
dlIcR3tcVwn2ZUZZYWfPyIQOEb0Ny6j7pVNDmCqLUE5r+8kZIbjAj0kZZFiAqozc4pEEgrqRycIF
m13llZKWle9WOlGZLpt2EzHQwQmTOyfQu3Unmi84AUOvJ8TiG+y7VkN9IrX0ozPr8aA39lGQH7wq
OiRke8L94S+zDtqYG6uxZqgsmMNUpsV3PLy7znRddGn+V1wblINjdN+DKMOUHVf7uANlmakpXNP1
N9afl2hMCNkjrLxVWU/xejCGW1cvqLSjfNsL8EZd1lB8WRkgZEkO3Pfp9pjA4faOAFFd5JCbJpL0
uA5IKeMwPsQuX2JKi7xop2PZMTGv1SjHuecobjMNxZaCg6r+xm7KVytOSrwF8XuUFcuN6owwneCj
mV0xruNE22eJcQXv2mb2x7HKqqPrlHze4ZtjpYc2C24CJzvaUQkeEcSnb2q7OWHxwb290u3+AQgq
qQ+W1uq1wnRNadZ+nxOmdOWNFn2rZ9shwlI1e2Ow8PW6TUua3HqZyzzyoOY+lLO6nin6WMf1A0Uf
I0hoU3CnaTnxzeLDZbALEBpNrRcriRtISPhNAz+80stNWDkba8bFbcPGo0gxug3A3muObSzoJjpV
UovpJKeZqfQCWgvjv/RLls+0+kc92FgqTTcCDKkXi+hJt5XEY59xlbNzyXP4amMwPEW+/xK1I611
JjSsib+mdLX0pzATnP9U5sLJrJ+wj6Re3KoZJ6s4NaSRF8qgvzzPbeHEa6uioaVoWpjQ72lOEkBf
Ao70LLY5+mQYUvnVc8t6qpt7OlOPrY0sEkr1aEfpYQiaQxpPDIyvCkaOu/QF9YPKtUfD9+lWodtp
5h1d8HskM0axxReM2CsjKa7LmQncWrDJ3eG5m1ERhMKv4YTMkwY5IdoDffKrfrZAYZMGN5OzhcPf
c/FOo2Zsc4YL5Fq3z2Djkx97Vg6DpE0lvLmvt22WMWqguAI4scG5AyROjisyGmscp6+wlC561/Ek
c3AG41Zu2mleYZQ+yZGjc0IA99i6JNBrvzjoqXwUY3HGXkVCq6d9CHssZR3sX/sF41hx6E7H0PSc
qGNmmU6OMoLywBRWaXmhsm/1JRlSv4LtWg9VdXZ9t/CcERRFUuJAsc+SgTTeJMJvEWd8z89YZkY1
8TXycICMx7mcofJppNWIcm1UnPFoVsy7NDUwAOSQzFUt52DTZl24NXLSC0JoAMIDEZyteujeOt1v
nlp4lQd/hu7slFTpm2VE255Wn3aM+EP3oVlU7106RLeVCayPVSNPN1NqQpxl0PqVSu32xtIHMhgQ
2My3Ug71UxHjdibH803TTLGXBjstgLx60zdSHYBrNZ6Vl5g/lVkUe10nJ9x2X928mL+5SdK+00DH
qkOA5KTPwr+q5oGJuiUr6irslP0FnzMIc39iOcxzfs4qRJ6li+Zrz2PPQqrSRG7iOZ6+jKWDgcvW
8ke3dxImsgyuvJID5nqGjLensNeJR+RhWd5NAtEFhjOSEQ4YDNn8kC0PWLfV/NI9lLqOPyxM5n1t
gbSqCWtcYaAdkF5VzRoXO8Y+oCK2VwBJipU+Ohm6sLoXNtDP0Ei+y1ib710Q0Bj8a3FhKmr3bLC8
4RCbdaJV1v8h70ySY0eyLLuVWEDCBa1CMUxabzT27ecEwhZ93yiAbdUSamN11Lw8wsMlM0VikiIp
OYnB93B+OgmDPr3v3nP9bD8pU0owwEkDmqsiQo7T16aDPYkfZwb4HYoPafI8aOv7tO1iHi9As4t2
gkeAHNcz0Zs7GI/OdjAWGkpIqK3tKg8imgji/JDh99Lg/Z7GSl7kEZ9qnFM1Qf81/v1sm/F98e6f
R+9WWEV1smQt33GLD48s9Rq44p13ZFB/mybzqjNyg4c9s+tNRHDqHmg1LiO78r7p/SG+WY75zcLe
5IQnLNvQeD5zie2fMr9Pr5EkfsxUtS+kWab3xbJ7PhCpRb0tK/buTjl1V2wJL4ttEjvucVja6NA3
A1SfmbgOa/Hh10Q24SIZk/DAaTAeu6TvDlVYvmbIGiyLBRvweJlf2p6CJJTecmMr/L0kWetTOuXF
Po87rLi57D6W1C2+obfDRM2S6KKZbHo8Ov9kshN5amf6C6eIbSj6M6mBRqXJ1hqkeZhiH3K2I6Yj
KE0iTBERl8Hjo9+bwVc0VYAfE+oB24qH34Uhs/Tp9DzOWfoa5JRPkFDjmrAQfmoporxN83k3ZaBy
7Yaa6TGJnspeYYxYEnNPbHa69DumYDL1+UtvTeS3HOxI0UzRKm+qldVR/FsFVnfs+rA+Zn56b+jK
wrorzRer98NT2iGyAB8lDtgF3XxRFjI8lXg/9ipNg8+GuPgGP6TO2ZIruGpKD3+BAXnyKnTgGS98
kcd0gVhkD5JEej6MfDJ4qujRZR4pxJ0bhc99O9LfGQb0XjP4PXSQHiQ9Ehf1UqJ0YvG2CvuxZknB
u9cZ1y30SsOGZj5xWHX+7D5WLYzSSMuEMP45tCAvpM+YL9M79vAfocTCTU5vucxYhj5kXt0/pIMq
ucdk8rWYfBiFWEn11ol3IXfM0LecX1yzmD2I3Nf8ZmZxamOKdAbpPAe5Zpf0XvZGa417sIbZxz/A
b3DF3JN+BEWJPOot8oLI1rcEZLAax77/XNA5fzxSG1uSZLw6wmYKbgGuo4lj/dsaPfUIydAZ7/hQ
742ZruFRTCENb9CD/IoulNifxYe/BLgmSjVz/Rz8ztuOvYJ+w41ikwja0YyAP5IwfNCsFz6S1sAb
tvbmbRNbv6xGQB0hE3qPlZEKDNGO3sUYOg8N+aDPcY7ybRswPyS2DX2cHwuJqHIXlYoEVyvu1Kw1
Wp48HLj9AZM+0N5kYaBVzWGeKaLo3OGZqhp3W5hLp8OH7U61yORQvN5qpumV5+fBukD2OSQU1323
g83ij12HzxuWw8t6Z5kT0Y+kLmPadjG54AJcZ6QjPpIiGGEIuNFG+eGPS4oJQkso7lCDH53EnveO
m12HUvB6TiE8dZ3qDnPodDtgGOoXF3e6cTDm4Yt1uq0jvEs6L4wP2+b5j8hPAItm5qRkll9E3D+z
18x3jqbgKM3DCVzMBkSuhy0ydkuTDjeAXFN0Ss3TSesl32UDjB1H03bMplLbVBN4uqL7djWTZzjT
ec6gnuQM7TEd+D2ML+6jUcH0oZWUkcmrSTOh16FsG7m6bzUHiCZokEBS04H+JAL9Bx6Av3rtWJJ7
kpJJJyCMT92Ydjv+SVRZ2mXyAldz/+3g0SlpdSjksXiNybQsvnM9VMuv81/4v1l7Qw5C9PrPpbd/
b9+j//t/yj8Lb7//K7/rbuZvSHe4HE0TIQ3LIzLXH+kBw/6NuRvggoTIQFcoiYU/C2/0WxI2MD0E
DkvovfsfpIYAwp6v1TqsmihUpvhXSA3yLzK8J1jW+lAhTL6UZ2l18J8fkmxevLGo8u9ZKDIAnM72
NyLwU6bpOWTHKS0AqOOy/NzXZesB5OzTh7qgnZpY0nUN7WgVjwIxyXRB9GRqCdccfs3V5MbNyoTA
9MHOS6xqjffJvDi9xgtt3cTlIg6mBdJgPYieW66GA6HOtHwxuS8ThkVgLu59lHjfknfWiswpyW8l
Rziunnc5e66NqwYEUWjW0UpRtLIphejvfOkUxybmkxd1VUnJneYZBZps1PGq2nSadgQb0N1nY7oz
akhIhj9B8PFJEgCVS1K6HwyzepnNMb+Pde4WFjvZCU1XKsZwJimRstUDvQT26X1cYq6WZvKrA1uT
ivJA2zTUeCe1PznxL40OklOUUMsD2gnqjqSqCNpTAfap79V9BgZKAs/YlkG/XGW9V655r5KCN8Yd
TOr2IDRFSmieVJ4qWn8iqtyzeWr2QwfpIiyd7hpwU7FGoYhXeRjMFxGVytTRoy82pf8i/YHiCub4
NdFjrrRhtivrGc6VrZFXw0IzNtnc/M4simWdIqf1yyCuSSKGx1pjs2Yuv5Au+q1r6r3T0vdr0WJV
JQL9Ibi42QZAG35X6T7ziDJYJVulKLviZYRVdeDYKdw2e5s0xSvVPK8a3viJ9eTz4Lj0o0eOiVIj
r+bZTq+q1KQQWrPBYgq9AZgZBbJrHntfjc8Q3FRB/O5pslgf9jt2+8gzmjqGeRgAGS5D9U1SADl2
BriahDg1NKws1dgyUfvgrTXKrCIYV21mtN1jrlFng1PYbyWO+S1loauIEvId/9azZgfhIeCsiOjX
RXzk/BiyiZOEI4XsdbeVIV6QsYo4ipEgTnOxLIz4pPpwH3YHwvGk4fUpRQnSNTzFGaZX9hgutQ/j
h0MNOANbLxVyMQ1ydSQhZn3QvUejOf3aH45B2zWLKnoz9EEZcGKSS81ZfHKIjpX3k+pjFU9ScxD6
qLWgV61EPb+5AtGp1wfyUAgsLmbvbntO60Uf23PtNgfKUqGcQ72LXLc/gFRjNIVkkOuD37WmQ+t0
5a4UFmAvv13RXzLBGyGN3jRm+IlWWa5djk8DmQLCL/pqcm/qaUMo55cAdrQdeq+/aSYjWjtw4RlP
Mn8rcF1c9Hp24ToEIa4y3C06IP9UnsecRE88Y6qCVxV4001q23QKuTAKTRiTqZ6VDB9lLa4YOaj3
JtBiyuDWVh7jlVVY4ZaQSfOj9PRFXUMC5Kz5dPoEFLxKqsPAbeYj+31w0zOczEsumIx1uOMY8OYy
uw6I6YzJkBzwPzVwpPlRE0DNHoI0fCrzVkBU5t3VxBkoFDPftG1hkQeY8UeGdkPIfywecCmIhxAC
6IPM4tvQTj9cgoV3yPHpc+1LhlUjPM+tati1epa1BxbRjtk8e41L6yXzrl/l1ORE1k2qZ2HctNTb
cxHrCIAXel6mnDfeDnqGJob5ApravqvmBo23jamdjyhdKoYO+bnhXStLQT+D4CHvh68mnVDfS2Bs
V4QXaM8Swu/puGewT7vI3rdc1U4O0wuSb9sJ0uJU5HoFfxjAZX2hiYzvIsjvzZh3DliB7mjrC0Wn
rxbM9deqmj+mxrIuLHvIX6S+idBySom5ye2k0veUOBujJ8eCoJDY3IIz5d8LfbdJQm52qtuO1Pis
lL78mPoaRFtfQd6+q69Na1Rbu+s/rBxWwqgvUbG+TgHGm499naoDFw7zkMg62dZ2U98GFhRRFvy6
Vr43IrjfdN7pK1ugL2+wFOO1qS90BTe74nzHy/R1j/bS+uToK2DkcBkUgQDPjUODe+ckLereQkZD
wG7LEYA3j51qCyxKMkYbIYDOK7ouop9q8duHaPYw5iXROCEbOK2upFNLf1H7RXxTGQXPQDVCzUDL
abde1BV45V2xNKTcCfethni+tiYv30Nfj2L+gm74lHGewAZHoX2lG5N7CodZ+F4tgbO3itJ+G4oW
1KVr+M2HE+bDY2iE4scBfMTxmJq/aOK2uDQlLhdHPA/ZWuWe9zC7Q7SrVWnsA9h4myqi9XnJ8+zQ
t1xp/Aq9Cx9ruK8WJK1CZT4EQjc6uoub7lMPG5bd+/5dAA2R8h0F/y0gqfPO/ardIniW3xXWiZtk
9MJncASoVAoyUCpc58bmpvdG3HnYZqGWtvoSyOg8J9vJI7iXTiF+JpbvOa2U132nzBPyuWBtNprr
GUTGdhbDePTSjm6ySMe5vT7gmu20a3+B2qnMRG4JuMefAzbMLWUPcO0k9BJDTtWl5OzdjDiXN0Oe
A0CYuyLcKK9JIaOFFaCUro2rQ9UG5UHAhV2ZPDPXCQIz/BHrlwxLcaPsvIOhIdX94CeZXI2xVpx5
Bks+MYMHvgl6OHTN7smMeiiIRWu9JqrgWW94vVPBjLsb9x5dTazDAn1RQVcZbc0CHUX/QmUWja4l
/RzbOeFNZzeNIG+cvsHN/67LqP+ogJfvc69L90ZplEjfTXMdpxB5Md8Wl4sxnsygyO8tt2c3yjEY
HU1HAQDsDF8TUcxDLRXuHyx2BM4ELUZjwnEJMK9NjFVrBHJZgesE/tgp5T4JPT9gpuVXM7Bxq62u
+nGcJKcxgv3AJvIHC4adBwyhhbpfZU1OqC2Nl6M7RoLHc3R+kXBIXwdlsVca06PPC/s49IAV+RU8
RGI4dTyzqwQVE7ROXvXtygMAc5dzFq/HmEJDPrz5Jh4oPixbUgatVYrbOYYR1lLvhkfO5a9Jgp8s
lfDz8Ph+DqBkYDmZ5nRCpe1vkqJJxwu+antyx6zamWnrHVC2vN0AifAxs/i8LoVLmR9H+QWLpGhl
0fqBYNLP95G5RO/F5IbrSKT5WmAlg6wa0vyghqZ5btWymczc4+WMGcg1++wy76k1o9yyRIxV/meV
yumBSgTvOlwyqMXxAo0p8gv5ZkbpFVZmh1BN721zFN6LkiH4EnpSQ41OTB9a0QYX9jjaJ4S3O8yd
3pMwULgodex2teXLJ6WCasMm8raDw7qZEeX2ies5/ISDKwF/GehuNNEMMjk3CciCp4Tg63VVE7qD
9xX6+ywZlwd4wdkbGRsKBqXXWlCvopiPf2GcmD4Md51J8W6MXvENW2t6pHElP6nOhpDIGqHYmcNP
Pob8y2zwLTx0oxG8twFriRVWxfI4w9GlTliJrePzQ7WMAkIHwJ8cT1VnYUpnLR4+0CVUHgfiBDBa
cPbNaRrdMK9VpxRkIdlb+nDWLLiGX2Mt5GHBpcSSQ/EwAO/mV5mcolaau9Jc3Ms093w2z4bxlvVZ
cwNUo3hoZq2P8JvdcBSr76LpmHlk3NenpOr5JEggEB/Ql5ND3qhqbdac0iCDBvAbMTUPrdV0t24l
nBUUrR9/LBTIrSTcRFmL8TQqzI2TNj7G4RnrGDAiSTVwTJevnXbzFmvzUlNaJIDt1FLC/CqjIvsx
6N5ajSi3pGQqmCUi6Q8AKZsdkYHXshcBe07EpwsCsszCjs8lIZggm9J8CLZoxHwZrXt7BAxh1vG9
L81fPd7ZQ2DOJKQG4VefnTPC8Ixn1uGNn4Ybvy/tK8eDTWR23k740XCCZ7Vjz/qmxjk+WJoZU3LQ
XoxZl95Y5jJf1qV0tuhq/rrqo3hd6tUqn5fhiXKwW5Bs4qqm0g2RSKtEZ0z6mZhew06HNMsVwTKu
6jNXffSX+NuaMDX0Grs+wV+3FCD2XiPZ4zOdHeeocyFkAcyypLetA/P56Ntx85IH4w5TJYh3x2mO
fSh8dhiJc7JZUZ7q4l1oaKoTWg++T+3rpIGquWm22j54lbf0NtT2D7XjAzMpKzGOP0Q0nocFVA53
CO4r42yd4goCbqUJrr5muc7KJIzGMM8xPpiEiCfaZeQyUKgLBxZXhLVTvVXtCKY3W17z7pEyTXdr
zfWtdBggbaMkiqvRsoYPY1bDZuPUu3eD0Vv9WzQkhraMEH1uau4ArP4PpiGVJsElHnEybV30O5qX
KtwLxRTTMEW+fVt1YI/+Lczq0MlpykCx7eJgDWLWaFZWaFR7WyNdCIWrJ7+0pss+afJd48I5/e9V
ef6nQiUsk4ieayOQ/Ody0Oq966GuvRun979dvZef8fs/KUN//wq/q0OG+ZvGR2h5CAHIc7TX6u/y
kPeby8bBBLMXOCZlCxKv0h++LEszKehEINiDV9F0/iQPyd8oFNJ2LYFK5BJM+VfkIQSgf06AeMRm
+SoeuomNSZPE4l9ckVXPBTmara9QSOe+0duJJKc1FKmHjBiWWYM3jOJyslOxU22KBg/BBQkO9ZoB
Irx0CwjMF0VMz/TKTiCjrIgl8oEaBQtWg2vDu0M48pmjJtgmHMHFLnY05jKPqvCIokYEy1mwjsd5
RWtxHwFYN/sxhF4A0dtyEDpwNgC28TMTZK0aT8qR9cVgMz44Cx1ofnyDH2PEVe4HZDflI1GGaGuH
CfaAgJYaJjjKpmKoQeV4pIIGaFcRR9QwssvhZJi5UOxozwlvBiPKqQIrq3AD0jTW8/F89Ew3/bEH
hzin6yBkJHiMh7lf7nyvnu+WPn6Q3mxuaSzyxZodGocNhKJuN2KWeC9k0vcbmBewMxu3JqshcM8s
K96wFu2WeTHpPWGS+pemSMM7zGDlruI+ettEMyZYKsDYs7NSQ4OZNV/YxTq3oT9+uZo1fVgoOMQx
oIZbeMrJXTRCKRaaV+x2SNmhZhiLkYE76uEeSk04HhJW8zusK4CPqzMEmW8OIHLhl90dkI5mB1o8
O9oW/QVmRd/7qhnZgQAfoEuukll22TAxIqKD6EY2QSoCzW50ASwI6MyAX+XOPiObhTOKK1qjADmn
FkznTtOd47zRzfDyCwcZ5GfNgA41DVqVmm+QjmrjBM3RiYo74p3eTSft/sjLdYBkVbyQ3JnR6Ie7
vmiTLY8mJuEWS4zvUlwFcoK3rKfGS4p38e37xEfNpp13jNdEzmW5sD/FaXXQd7GfHi6BuLAR7zd5
FnSXbdcMNf81GpIt6IPgs9DSpscq55hrpHau4drsPPtd4KPprxwu4ifZZNYpWqInqzb8le4PbHId
HNHQ7j4dcXpYZ5Z3prHe4aza68qcBuJSFTPREinn2jmfbvqcozfbvxC67USlkPHphvgIqDc90P3Z
viZ1512pmtrX8twMYumSEPYo852ri0MgiARH3B16N6eLRbIoGgDk2/cjnSPxuX2kC3FAzVlDC/XU
0xNZxPJWFpw+lNVXn+F5oiADE+6SmNOFwqtzFHVGrNOjSHieSlw9oADOYVaJOv0TnyomGLbnr5Ue
arqYXi9IUfEuxZbM0on/od0i+2nOE9F8no7m86Q0ePO8lRkDgKUHKZ+HmAtpEjJfQfjfROzx4osQ
Mv1G6kEM9tmPC2IXcgZDmmxm5rVCj27m6Aw7jyOaYBODna9HvPg87WWzDQ+7zfGcST0OJhakmKRB
uLIRaR7MdGxuqvMAqUdJEtjupTJTaycKMzl1euR07AnNAka20uOo0oNpGBRU8J2nVQYL6g/sPrpx
bYQw7dBZRaRSj0KPuuF56g3PEzDwXaZhVw/GMK+25E+YlamPKI/deYI29TCdnOdqpGdmLGv4WSik
3UVpyvxNa2x+6vBcQGVE4YyqLLwmF9ts25Fu2h73x97mdrbrcjhrcYQdmx9xSIId/ytbN1jhNxmV
wk9cB5JDRYgGvVJVlKMNdd5eKoy6W1ZzmElUAAO1KFFaJKaIwzDT5BaEAo8FS03/qOJFXmUY+FFQ
McvPuajIzLTOC4WLXCeZ8p8H2y4fXVxZOOEks/1suDg6Fverg6FAiJ5vEOIN3nKye5tpipdnq5Hx
zupLNKCFhFqh5Cap0PxDI6l2kZzNtWNQzQCfy8XbVxOugLOX7t3WWS7nJQQNI5Zk3iaTgCKdS+uj
68jZZwkt2qBmgo+cavVobUBMOfA2cWkLl9Euc/jI8tJn6rPRpCNOKUXtF8rU2igE7ik/i0LdPJ9a
z2kcsYgWQtJ2XoL89BdCfqEqhq1l+/GaKKV7V0xB9SpDv1753RhcGtwS10kdOReLFXwVxXQki9Fc
NkZSXsG26QTrddO8ociWk2h4Aq09nQjf8BLNuAk6vQ2cZ7AgVJbeRxJaLxkdEts+H51TajkHyjui
iQU7MTuwAFmIw64vcc+RUScT5+2U4RgfHljnVci9hViOk7IOMZdDndjIwLx+196yrK3CseDy5kFA
XQz/IWjxRyNDkUOYeq99nhMMPuYnK458n9b1uM+73H62HAunXgxZofRi69BZ5WWdqX7TLPZhJMX4
DB6P3hgZO0SIYkpAXL+5yMxha0+UI9qTT1ttLLi3yz6mnJRAz8Yntb6dFsJ6FvRwouFOcJU0rr8z
oWKsutGQW3cY23tDxNwP0I52nnKzY6Bqc+8DnyVmAA3ZG3l5plP0BHEN1g+FLQ1tnN742FUI7GHI
NwtfvGNdpZ6ptShuw1zGNxAZ/fWYwRmuPbPZCbpWqPz2FXZmLgekZ3gb+eV07zUdaQrqbprF656D
ZvgOJVJhVhfzvfJwXFDaQcdcms7pdUvZyNpLyurgZIJY60TdDanEuz6zmxuulzkNfhlRquZWhSkU
SICAaz+OxqcSmPB1V4b9JTy8YTON0bbxGnkVFzBJcaRIrB9+v3QXaVv06LKzACpF5VwaAC3op+R7
jLPk0M9040Gc2xhufxPZ3rSGae1tOHCzHCc4pRqUTHkFmXa0NktW94GNbEXJlnFTRq7OhbhfomKT
h8K5pg1PrBTr74cmHkvMxlPzIIrGo8qW7Jmr4HbSes9dk6JRuEJ5xx3M53NMuORBtjaDyOB/4gPe
Y+x1AVaV7DqyvNTFyjiaLpRZwwAuao0R5jJrX84OPAQ1uDduhlgadOF9a42XucMFv0rorGtsXJOq
7r9diTWiSqIrfGQ/rlGt/AHsoWuP+LcVgmPnJMbbQODxEYuM/5xjYTE9n+YW7fWjDLVnSvO4P9az
DfSPo0j4IfTTXCdcvTjYuokRwxLxm1XqEryhSQJeQF+9KwkKaJrmrZviz8D6cenE1Md2DWhQ0q3q
WCjIIBAPnxUkwy2cbxZ2Y859cqqBZJB0XIMjKHf50OKChovcXYi2kKsFRAzmJ4/aEUumd/QWOW8J
9uvbMSzVTxplX9FCJU3mJ91tOxi8wnlLMKHBNwjCTp2mZRK3S1u3rKwicAltUoInD+17EKgBP5ei
fZrdmFVE61HwDTgGmGOd7XKIuiA+eJyIXxxAg8VI60l3HAuQk2ysS0QCAK2UfshVYRA1Zh37ztBV
3XfW0u75DIttIaOBB3NBrsD6oN1JkC55lncLbCBtFqeNyMrSdsP6GHC0Nbk3DmUlzcaUnbvJEhHc
uR66LJBVhHUbJtStYzrFhx32xmtql8vO6zLvunZppspKDBZjm4hffZ4eukzTsoLa+hLWmJxMj22y
CuIBtyxAh7bJcUX6iMBgl1U9aANKVuzteh4PRTFwT6lGW2BWS5Y7ynu6V2zofITNQG25+9f3WDPj
py4cZnaChASjqY62kYLcS/n0LoqH4DmLwWEUVcgO2m4nNkdgYolEIJbhPd+HGaMqkXUeM2MymCb6
QBzI4R1acUUpM2a6pd/5y+iuAzqrN7I7S8p2vO3GcR8HqfgVtUP6CpN81zuFeugMpAFLee8KuPWm
RwldeUvAFcr0Kw5JGN8CcAnXzI3Hi2TlWAF9yA7z29A47V1IJcTMns7y9yWLn4M51ZbmDlvQWutp
Q7Cy4Fy3ZxydM/99w0xwUTlhcJflgvHLcD9bShP4rOY/wSxr+ubBqmXCyfd90uE/pyH+rm31UjTx
q2Pizd9TCI4nnOtpl0H0W/NqNXYWKbdbHNJr6Y4ex0HnXTSF4PpAsxi7RHLwLqd4oI7eHAQbp2nG
dUVi5FET+Dm1Cos4RWT1eNbK4cuvlwydu6yvqmBm5BjAumE9Dao3FCPzp+RDRJAtaFcpaCSi9Y6x
VRFgoNxnsUELwyP3lgpkoICmlOXbtA/9HY+f/bq0ZINbVT0z/FHDgy3hlcob3SQ2Ac0e+h4KUO5A
exlNAEy5JATN8McsKk3iKZk5nxp2ThsaXdRVOUf1p224tcOkFtnv9tg2z5blU1ozyfzFjASk7Naf
HM6yubvOgQLvJDemDTHXCMS1YCgiPnxIBwyPF0vqycfEH/OPxqKKe0zD6FC2drtQnmYvh1DW1Zs5
jfYxaKRN64GoYeOiq23GvH62cqpziVW+2i0rvcTjAmUZrBFxiyTbGPcDHH90+SGs8bXmVcPkWcuW
bEhrkvZV8ic0BovL2ZJMK5KZ1XNSxg7vNL8BxFS6NoVRhXVtO/UWoxnw7qTKID2zkIRdEfUrEzvr
PpDeS126/OzAwb0Ykw3xqVmSN9uujW1u1+Gt31cIbFVt/aLJOt/ZndTufjgCZUvzmp0pdeSaGa9E
ggFsmLvklIdUSrPjTqBVcLfogSDX0c6VRX7thKZ/lEX9StA2fcYVXf8igLUe6Cs/uGI6kZhhWdNk
0BWqDG8F/Vz+i2nY9i/AuB2CbFP4Jxsrxn6hOITJ1KZ6A6HkUkr+Ka/WYlM3S/pGp1O89hqIM2VT
4xR32bOD6rJ2vQsqMEqJOigUz5NjC7XKs4ZbfZ5Zz21QH9xcjA8D8JIcMMRrn7uYuQuB/G8UTvXW
hRiPJV2tqAVQgsKK3jvplZ8tH9jtJD0K4Sndvo0LubMK31l7YzJdqrJCuJBNDcKi9MBjgqFpV6FN
rCf02Hh2iqncTR1ajw1EDV2tpH4cg0hIXRTqyqVo6jnr5+FKyqi7rQYWcEYJ6t3T0Pdc499bDYI3
es2ED8myIa1oVHyqofG84YbHIAEkL9OmeScb3N+B1l3uMF4H5joP/PjW1wj6pipDdA/NpQd+h2ze
A1+97TW4HjPPEdNHc9VqqH3BYuOy1aB7WyPvlYbfxzYYfF8D8bMzGl9D8ieNyx8V4HxP+QtSdumv
O97Lhcbrg5gBjkXpiqfR+3mulRPmKrrdNJ5f5cI9SQWyH9vkYxIqcTL7wfjiRwXfP/LZSOUa+j9p
/L/k9nRHnyWdAFUZDOaOhbm/RehvWNfPxoXKRE10xsrXmdeF14uuGUimuGJ41d0DXgK1qtSFBOW5
mwDiUX4PcyG96hrl7+LR5Rgj1PQZn5sNoBSqLZcruV1qig+scwcCyULGXbTh4drmlmZih/Td1xEE
Ff5UJkVmRt2oQD4fpwgGJqasKE5iPOuTuGBHDfe6PbcyNKaPEEZTg5tMvM6pbqitQLLZnrON1bj5
l3fueKCqfboNdfGDmNLopXf69CrxjG5tc9d7rbzxdYIOCQRFYyCWeN5zYOCSZsuUjIFNaYEOiJx7
J/pzB0XgqubdS3i9sh/lsLjAYh7tPV1d4QrQK2wXdaNFUTW6d08XXdS68gKzVvXZdtRg8LfhDW/p
4LxIdU0GRBCQdcBesAHROkLEKJzH21qXa3RxQw+m38y8ccPwaogA4ayitotuI8c5lgnxozk1iRpZ
KfwDxoa1d+7yoBEsfGnAPuygG/At+rr2oy7i5jhC7U5+T6T+tzkq/6dq7bZOxf+XQntVDDx/719/
21bte/63r++/Xb+PYG/+SXD//1/m72o79bbYKgPiTvhu4S//PQWNGZM/d7QO75gevkydyP9DbSc8
bTk2vEaB4O4Lj3DyHylo6zdIziwGYFJxOJOD/pfU9r9q7Xx9D4IWzc8uOz3HRNb/s2H3H4sh0+7s
K7IoEBaDWhzc2SZwVydfjd4NyYDXOnFFgv16a9SUkTjUepP0p5/nf+Aetv7ZPowzlO8G9V+4KA0E
ic585z/Zh/+xaKodG8Ktp774SL6rLDAPLrGrdaU3TbPE5ydwezMlAu8YFjE26JgJrOMWQKElILk0
HQtcpzZ/5gwvZR/b2fG//la9M/jrH5wq7WLlz1zTcsmKBL5j/QW6aVd0KnsFGjrzGQmlvLs3Dbo3
ZAvqcjQQrAyFQ0tbGRLOLZIHAT0/osAhGiHiAmUaBRILFwhOJwJf2hdRYpDIeCFdNNozITpwNbn2
UVjaUTGUWbWnl8T2oIyY1d1gDvam487FgrICZoKJcTdIJkIoiOUKCyC8OjWyLs5oMbbtAoNhJsKd
HLMZQ1b+FmYDhSCMRiCiuTirQKpqk8hyeFHaHlJpo0i04GtaFAVCdcwSQ5bT0zwVbA/QVbCzJLhz
gN45vODNDLvDOEIuRASJMN2bP51NzocCAwp8SNGshLartJNqdoxPzY3SRhYCs3hahNHMn+DAOV2Q
h4oLpnF+aF7WXcCeiK59bY0pwDnMwkx3vRwe+tYnmzh5vJjbLgTeGBGsv5m0u4YA5XSFhmMe8F/U
G36ONEOPOR0LtX9SMvhKJlQ0zLXUFrY4duagSj5tkQYbrx9MvHWSU5YxCboavxXylptu4TPRh2m4
jpNxPLJMWjtB668xODNEaLOQ15XOKRZpj6SOdQ1BydtzVwh3qtA/JRtRp6EB7CYDSrKC/TxAiKyM
t6isyjUVHTYd4D1qgeZszU5L0/BCsofna3ovtasJuF15NDhB79N+KY4Z9Wg0dDIFsToizjQO1t4Y
YIZybe3ora0G4tZ4RxZm6illdDZEt5tyH/kL3RCxT5TmrsYseFsmBeTm1Mdw5OFDWLsdW/tibOhi
caV1WiyVrvElfkR5xe7f9IMn5OxtXU7ZXuHPxSJW3jCYi2O4qJHwrRMgxLTeK/dSsXZyL8HpR5IF
Q9MpXfi9iiWn3G2MrjAcfmQTrb8XkT9a67CqbPoN6EFAUGqHywgmDDfVCdsnPDa5LvKwZYAGUm7m
Y3Pv6gEs6EUDpC3THVEFoAGD1eWtgcVyZSOGbqIy/ZJpR5Cpafydxex5nMkRr9Bc70NDftoUypBY
Jbw5Gf1dkVFujv3Vfxhi4FO2B/lHgXfiohQPxM2T8OSJXuEVCOTbYlvc8IRqGSsnHL5xW1224yz3
ghvUrpmZ+mS0VHuw1ykRC0XObCKHOw7jDTWnkJuTaHnJuD5fRn0wbXscm+DlfOyBERZMfvwQn1og
UjZCraes7JJtFB50k5vYbPbFesSc8kbitj4IvBVmheZH2IMtSkKJDtdWeC5uvZkR+o/9hNBCyiPf
+REuxRTqklYFzP2Q1njcWt7sVjz5+yER6Ub5HVQIbu14vMIreq5OErYTpufCMrdgwZxLktU82Lw7
iEq67d3QxF8zDviXBfPU2nQLF/YTTDZFn/UhUi2Df0xDCjc7RhYShZdZOr8XVbTcgdioThmotQ27
Mx45XCxYf5fioYsSBT64qnZ1suyDyVT382DXiGD8f7OwGC4To5+3yvDVszK52rEChJX6/9g7k+TM
kXPLbkWmOWRwAA44zJ7e4O8b9l0EOYFFBEn0raPfVi2hNlYHDKkyIqTM1JvUqAYyS0lJ8m8A+Nfc
e+6iu0kNPqAymr5kI9o4IxAIVfPwpcMCe+bSlGdZkTRUk/d0JH6x+VYyNmGaVO6GviOuCo/bxsdc
fJfqUW/LjvlRHI/sVrX0VtrJ2QrK4bEX7NHqPP6SMEG1M9Bzs462chL6qh6xrxdSV+jT+rfahTAd
pu8F+tO9GvvbOs6fh3K2N8NoJd9USwuWs1M/fsiSeXDhdC3SLTVsvafrUTSwIIa5SIuNtqxsbwrU
dEDSd7jOJ1ac8m1ugou018O9NZThtjf6dz/E+B6KXt+VzCLPRZmVX3UTxOcCjdTKYd1d5rl/YYaD
fAqDtH4dU1TGM8KTXRh74abyx3k9+tgOJMnaRKYweDSBtW9CfQnkyr+JWzP4ZDaoxXoR2muVzXd5
mhpH3/PvMmPGIjhVawDizM8j8eaF1vOyxlp1CH9XevT3Xk09X0jvcSr856IumM6J0VhVtPTrIkK/
a+AkTP38WM4Wd7g7zXsPNi5plTb9zRyf2V+TnaMka+AQyTKE4PcsNMkCJFJwnVI2rysYbJxF/dc6
NE82hxSGEIcbkocJAKGKb7FOvxY1kqWKcK4NGVnRynMbb1vNTXM9NFqdqqhSW9AB8D4GVlMGqVpX
uAHVurGyYA8W1r4ImWmc1DSnO2fWzd3MuvdWorrpeq9d2RW5BilpWbcN+LZdHjh4QhiKXIyOeRhJ
SdjperwIMGlDwDPjLRhD1kKOuSXVlxVVnt6qqhqIubTjiwQVMfQjp8SDKey134HtbxQD2tSNux0k
FWdrTKGDLQKvyuBZJOM4Y0QnX5F2M0Vf5oHErFbn/RkpwIxw2uNbiL1P2Wg8Szv+EgmDyWrJPGYb
p/Y1gT57INnupitMBfmGrLizIdKUGZ0TXAUahkhGItKxMii2pl6z4IvLyHgZojY84Ta5mGy0t1Of
AX+IOyJzJJyWZpGVlkm9c51x2oK1sRHz5/JTTgGycgVaITToE6uaDgXbwNDqc1d1LVng7mfbrAiS
51l1iESabbCn73pyRgDc4iqHnal34aLTNGVonotgSK7dwdGPmDYT+NrsjFbRh8wT20C3LgdEdFVx
b6JNP1T5mOxrl/F/uwhFk0Uyai7iUXuRkYaLoJSkbZRpbAH7GwQn/j5khYLR2Ynn/69t+k6Eepiq
t7//lQdp0TbT3Ruuo588a9ZSMf++rGmrqy+/4KU+fuJ7Y7Uk5IgFLgU5jbXcEh78zzRioTC5cUxx
ddkOSbOLme63tmrxxiE58qFK+OIHj5vl/Q0PlgmGSbqs+aT4H3nc2F//2srwd+gJHIc0Hgs1pLXg
2H5oZUD8aWa5xBHDtOpvI88hRUT7EFw2Y+vrgcNpFuwMpmneCuDkF0Es570aLNxYvpWFzwHkPnvP
Ssbm2lXzlH5i+DOzurYKwDR46BAG9rbdfekQUzG4rQVBeI09lYxRK5JwmUDKzt2JeLYaQIqBz/HP
qBh1YCjs/ZjHbr9lYCX1fu4Xcew414ikLLc2MzAw7J6xxxueBHyZ95sYiAcoScGq0LAiSoTIIn11
Y9YJcSdsj9HszwkAm83C2n2M3Kku1iFI2oZyXRbvNsEWDPcIFKyvYhHXz8pKXXFuGQftg6gZaQ4G
pL0Lz63M1ghFGBYzdZm7LRkiVrap0ClYW34JT5PQIdUQo/IdK7scpONYTc+GVZrhZtSc5PdzjSxh
l8CvcgHODsOEpiaJH2LhAgZws3hgSBZO9Iqq4XNkellEG92O9fjCTxsLO2nsh4fIB450S3RABfMw
kCboJexAd0leC3mJHT6fdjZuAZLaZt/ApK+D+rmlZe+Iq2Nxiuuub17JaA28+4goHfojKav5oFB2
QroBVoQFB1HfLkLvxcqXpNj5prNFjYeoJllvJWuST1dzLJi3Oi3JghK7EViowvOuOPFq+86jP4k3
YGF5F21iVc8l9RhymwGbDps7ibI5jNpT1c7QNlixRiO9ztQ4HJ39WF+1ERxckOHEdm5U6NcLxKk3
62PmuoiYbDOfT56FFgjvU6Y+01JY/qbvHQBXtuyiT1HhBR5Okip1tpLhpT4C1wGyggw9r5+HOE/e
CdoFNlgWTiheS9mMzNOjOVl3tD4cxlbhfEFxwZekLAnHLNAty8dWgRjdat3heGy4pyhAShlGj5VM
h68cIh16BLRiy8KSPSUBsiiJ1pJZuXVN7gK/LBwJxqRcLDUromYqQvYMsdGwza95Y3y68FmCcznW
ZFmgY1EEyvn+eFP4yyqo9obeuAfopZyjMgQ3WyvUzAKPWTT2+klk0UY043gzWmY6kWr9cSu2YAbi
iI17z6+ogCSOL4iFpHOIjAmu6aqM7LEM162NMOnVSe0MWlLrd6PRkK8df2AR2PP6T8xl3dEBTDDy
h2d/rJ6hKbeAoVKkOLvvl+ts1YH83ImOLz03yNOkQ1kuOqaNpNCqqjfha+i5KC6ilJ3ZynaztF0n
GmoGGUsI9rBOctH3oWT1otCfFc4AVTec2AJVmFz+wVOJo8l5/rcoldEYHKb0QfmapDTVv49RYbaJ
Fiwv3sNubDZzYbnhzjXy9MrLLA/eSwqgfgfNnKUmbG1br2ZTDv8RMKUIw/JlyEz/TCpvbMOi+RmT
gggve/ogpNS4Gy4lO3VI9GGV3DBFqbofwSjj5EWPCxOFEMBG8E1hwcRUgbHvVllD18GOHmDLNSHl
G58PVSAkli4W6x9AJjpgbbtO/TBe3KsLvkR4091/Qi4hHQr/b6NYGFbtIDcf2JKpitKR/kqRcPVn
tBIlSvQUswyMBNqxLIwjturg05gm9938R4iS1B9S5J4dbRYKshXTeltvvCWjfXa4oX8wopUVHKg1
g3juXIAoZE/OKfISU2bRe1fidOCJDXIMqyCa3KTS9d70GW99t5+h4vLT7fDvnWdJnScX/+I6m0Fj
GZvfN5zFseGyy0UjeF8PtYuTKKz/6TPz8Dyr9S/2MlMzueRJQhv/f01llqPqQ1Z480s/FUC+OqvL
AVlUbDhDMym/cjQmDcmybXwgFLw9fAxbwpk9CkGWrBdPsUOde8jyBIFX3/GNrQAt9K8G4TVvaIPe
Uc41l79NTSbHD54VCbYvuMIG8sV19ZXcTdJ2kynGcmwGoJHCZRJCxLxk/pT63hmLVeKffxt4wLIc
KeoRG70xBtDvH9MNnvBIVRXt3hVS7/bbbzOMZhDgcMpg9i66wpkr9qhEroLyU7eVNXlfQKTWt4nh
xnc8MPPtb0OJVkWCp00VXKosnb9pcxafujlMcUVqsNuew25uguBYmIB7c7cK++c2iAueH0SY6Sti
MOaHOa9serFUwVdqdYNkK7Wl9J9LKrJwZZGDjVaIORYG8bhROCeTfrqMysB9ThEWXpVwof3VbMti
QDskgIb41PnvDAgdxlVDpZ8YsnL29ypFsBnHM+wZK5jLVRS31g5TSw/cr2UNzEmLa5EswsL2dhDx
IMdwGqTI2Nre3bWEGZ0dWfQkC6Oo2msWz3SWXk98almXrXk7lUof2jaXb3kSlqc54uG+kraNYiMT
8CL3kfAg4c3WFOdbTIGdg/6E70A99r6YNBGqHS5K1vw07auQjflnq+ZFg/yWidxAinedQ8B4kBWr
7iO9pQhKSR/l5toIUUDggiBkvFlL4OJuUIyhNmRO+DR5hlVv8PK0u4F5J/HNFTwZjrsKFpYwPCTM
zIZzMJTa7y7Af3RwaoJGd6iDLNe4G7wYpVDZ+x4wOM7NZc0rMvFSxo546WxvGm9wMZkE5zhOtZcx
pRA4LbM3AcT0dbRt5r7qblwqpfhCBKMAxRdMVnsKZefTn/M4Ty/8xNfktTvVLSey6k8OSVTEKFN1
YHnLYk6uqamqV6TrkukGfam1T0fGHzsECFC4Ml/YBzsBZ7hP+tZEeeqjaexnxb54GKRLkrdtUrWC
dnDFbcaISxAs1/c3ckB2h7JPVPvOTv1zXi0+QosCT9PVDuZhQhuBDsmI3fMUoLVbx+mYHOwgTO6s
buRcdSpHvlMcXbl5Ipj2aKv2TsLWY8CkYIYv5FfgyLgkSXjeGejVz0Na2udcq8rBnBagsKJJTp1z
mY9c/4bJxJ1g54HpU0Sd8exVYaDwbQ71FRlCplz3Y3nrBEijN2Zn4kpkbUHRMZLt2m4Cg1JskZxO
zFtSgmAxGjlym4eLo2GmDPjSYNK8z5KZY5lZRHrZiM59C4WHodNAOB1Iqi28165xlWY5iDYR+kwC
o4yfD4jlEiCZqwFnNDAmFJFk3TCVKRGjgZ2NXQzaWnKRFkXZMTvpY3x8Mh8K5lDmXNd7iyEP+Vaz
NC5MoAY11AdA+ycanxZTuN3FT2CF8G+ES7jPkJNOEUuHSeQQxeqpJms450Xz7FnjP6uOSR/ZJwvP
WrUGjr6UNYyq6S/Atj+pKikullCKnhk5PjVkdol34fbSb4DCds6j3ablM4MPkhBaP3lhHUQxL9iu
v1qtqG9VTRYE7zhiIE0/bx8Ly9bDESRskaI06cyXQIeA74mr4ueiTIzWxZSmT0loK1bU/lwjqJmH
Uh1aNZC+4aAnNmhVAujvyBLfbTnEZ/znI2trj+W4rdoLXxdlAkIs64ANRrhONp1vMJyk+tP4Mi17
/hSJZn7qxETEPPkH873XN57eRn5unzOZxq+WHZREqo+juhkUVxgiTUesQb7qrRQNomsCufWhscLm
nvIbOAS3P3LiIT5U8ODSdVTCdOWDTy99uMAIj41mW2FHOEZV9MpMu0IhGI9HbrpBrDMFXgKLIcMV
2RoMXeIA4ByWxFsnlslbw4T3HcYG6kcfQqA/woAMJ5ASHufrxvIMcPGymBW56w1KEJfb9y0YiHhc
VbQsn9suLKp1Gc2RvSkQuNV7DBHeM+ohWASuRhNmLB+9GoTLfy9R1l/3y37PQkS/UykSC7QdZbPK
xt5I1zYEg0NvORg+23jcc1gST0BPqVh0gNXHR1qtXHO8YTak94nffGI6Hj5CB3fPVkPEXGza1mHO
xwPV23SN0MH6LKuhAjlZD9GZPPXZ3mKJh1k3WcWNZdgNGAQmuuF+dMbuOE4oTKNJ9I9jJjzG6xTw
NerhMpf9tW4t9pAB8uGLOfNey1EYIOCCyOQWZcp9VkWcHNp+5h4JQnAoMG8tdYrL0Tpy+ryxaQtf
2Yn1hykitELxUC2YTRsoQRKvsTe+x9Zu3crEF+s2a6M7npLZZa66HHtATD5GVnF1ctb7Rbiybd/f
DVPiIiokGqHTYcJeFI6rb9ooKWn8MMH3zQ0RoQV2xwGk4Jy9YXL3d/AiDSSCdnZ2EsM6gBBexxxo
zrbGVPumksrexp6ur/0MfitsAaKJdgiCe7mP0qK9ckqtb3Eup3uvEsapIbIrW/aViCM6D4gNXQis
mqZljcxcbbZ3mZFTXwca9VOiyuRktkF/a+niyxxW44nyoj2kk9tcZJ1nrrAQONekg2ZP4I37ejui
D+Ns5qD/NCTjtI9kgAYRkl8LxtuPhx3Teq4lrs9jwCLAPozF4H8lab4kddNs+fLtoF9VTQSDUQxZ
gHgmrk1/Cxe8f88QZl3hJOe+j1s/jVZNFafI293pqzc42TWbjKo7SVf2N9ozuIkia+Zxb8xJ82qO
UUPBnLYzvvHW/tS09IRO04lin3re+DVICyVYwvWSu3did4ubBHIjl/FMTd440LvRGXX3qMiYtFOo
Mw8HELe2K6JTOBFNua3sInK2unP6XR1Yz05di3ORlPE6x6Gzk/jK3N2IP9kcTXSFvVesWX+O5ygw
wuNI/7FKWwMrKkpLOBNJi/cUieSxntDpkAtXTBD7bfE4sqwFCWO4ks1Zy2seXSE+oXoMWjhK5OyJ
3k9vIA3WLzIs3IzuXJcP0xg8oHBpgY66XnMcYH/gXEidLnnA/5ZLAKyduUSoJMNN7PRGcA0CCMxB
0/tPsE9Ip3PNYT/pkJAnALKOS7diTpt6TLI76kGWnIPNTsYTsvmayqL50qWIVanf+m/Q5JBMdfa8
JWIw2/d55uypPA2s6P7gnMYejwmjceOKA7D+2oGGuolkSE4k21lasHmwLi1a/3JvkK17HLBUHUua
pNu873eel6l5w1Yt+8rAvJrWHL3+kWH2ObUV2TBNEB2Ek/Og6ObogK6K449ivSONsVNvzWBOei09
mrZN602EVPYuxMf9iE3mFiFu97nGlHQoO0gkN1OTTrsyal84jvP7hB08W688u8HVcOx4t/uO7S8e
Ejft3pwBD95pZk9snkIPMsq2zkfjZW5k/Vnl7VWVWPm2ZPi5Hm0v/hxDXrhrGlLp5JxaDNDgSvns
5Q5G2DEv9Iz7MnAA8jAqmw7UzD5ibxsGJKuxkA3t4OYXfYf0lXaygFIXuC9GHgvEV7hrEr6lFvQI
e3Y3wBgezZKkJ2tJhNTk8XSRY9xpzJJHah7JrWDfCa/rTgz9QkI4DeyRhuFcBk47XZTk8EZba15y
9nxt49yYlcC54CEAuDIbH+h9R2U3aNCM2y41yjPLcohzfVW8eJFNDZdN7yLHv1+D53uyMrujsMKQ
2foyOUF7bC6BdLpXlpc9zgbVf9EXr0TNmA9Sa+4ggHvFNVpgRMqjfmodpN8XhiraJ7xExqkuVPus
CjMg1BNMsHWTUEcgqZMKYWDvdWa2aYMugdkP14Bx1xCHYl5VucN7ZNRX1DfxTML3xmMFH20is9YP
Xg5LAYU87ctqWiZBgRNjConsnsFljSERdmBbmtBtMsN8nEjd2eCLZFcSotk7G2gomBDHEdwKZ8gf
OHGbfucWMbVUybKQ5EDiuMIjnsA+J72lIWu5bcsgAspKUbWKVDrEW1RoY3VBZULST902PGZGx6Pp
4jtVDJ+iHErxD/P9f6P++XcTc8lKiIISDSRZ9T9PzGuSzshE89+U601IZTtTHqaZrM71VCLadcou
III7aKYrLzWqz3/8t38O1sNyTIKNbwFo9LFVeorp/0/TeuX2uhbl/AXQRXEZ+zj5MF0mkGzbbhOL
ujuUdtbdGUGKTzfpDPP7Duh3YzHFv/x912NmsLQejvI8z/xlWzCorgmjmi0+i2hYKEVoDPPBw+Vq
443L3T0NOBNLf8AJCtXZGLvN6PZzx6hgWnrsDlgdniOC1/mElpKYDRmjT9IzoaPGku3DGiN0wG7a
JGFo4+eob+7++BP817cA097mQ8R2zNmLFfznjzDCAWWMLsPw2RRRtM1RAzMD9eN4+hbkDv6nSjnC
5PDyuYpGwzS/JklCtmrjMaDdDtBXkzVtS51sJhmP6RGf95SduzIMrL2MrHyx6rI5vSlnoVzStxLb
uPiTt/BzFjdXAaUTxlG2StjP4VT+8i0YkSuYxzskKQCuwx/cRIzyjaKwTFircJjxOgixiClSvqOo
UHy4YSaWj94YhyfSWnOS1hoD87f4+BaM2nCzPyFsLprE6kfdGS9SCd+UFG7cJrzOnz9n2+a88AIs
JW7VJP0+AN5WnvM+5HVRe9y20RC/+WnLuomVLx/yx1Xhlz7XiUVGj7uNkhAoyAjGC1fIhHPjT+5j
e3kFP75Ckln47CS3k4UdHfDNz6+wSuSc+RFkPrzXXAN2OmXqJQvrqmdbzR3+Ja/51DaDEQFJDy0r
ZOtfWoAaw8ktScr27JCwxawKWGhZUZzt2IXpcDNITe6ubMgDrJJlLcRIIJLroZ2sJykDt1n5TeYS
KKITdPs1BfS4yXN6DorqWu0NVWKyaLiQ3mmdkjusPQxd45rlyRo0nwFMalDD7aAj9wHVg8zwPyJj
/rNrbLkNfv5wbOxKiBT4lByUl78QUllcRFVQs9ZvO+wQd98fqtrSuAkF0gP3inMBXY8bs48B0dZM
7hHj3pyR5BqN5LzUUyuYfowp5WFWF9xLerSXiGIk3dM5j2s42qt2aF31JyGg1vIM/PmVOx43gGOi
5+Cf5C83OF5PhP3spcg5jMaIbHG1qC/beA7WMWUfGClZOvalblp6wiZGgXiefTdMT9Is+GeHvvOa
BQaR9n7BinZdCOlUB86BNIE3MJHcmLs4pxaup6XB/3Zsn1SOE+hsjaqMKfIKLFEb1XSJ+lK5eTof
GRwln8G9m9PDHz8Kfn4ee2hPUdcq11kuY5PH0i/fEmghUCx/GA4UwlChHHL+w1wg6+fbnFfAh+xK
biAbBgb8t+W0/GF/PBPvQqKBTlZzFOty54bCoQ6eFWOR71spPmbPOfqBE32OjRK9UhY1y5NVhNY3
GcmqWJOGDOHRYr4crK2Mcesut4fupUg4x2mgg+Bo9ENQb6XvO3sYa1m1IUeFHryQs4HiKbcINick
HETGH3+6C8Dkh0vJQ9dCjraCcytd2wNyuKiSf3hzMnJJ0nXbV5qr+pJhETkAoPx49Qw5/Esa4S4g
lsCzT4GXRl8qE1vmxgOrDTFAqcDeDn7RilWJuuMa3NAiAEqSe4s0hIm1mJD3sOGSs9sV3DZmIIsE
wI8FHsc0B3GJ28kjAUgw+VcTvPtNVRTgFibuum3uV82dE9DPrf/4HS+ig1/fMVIF18JmzEMb2cLP
7zgjHyaTZfba2stq0GZxQxtU6mX8hyqhgPinanI/YqIbsj4c470sGR3TVtCZtbUdjX8itf5Fn7B8
BbgLJCJzFAquZXu/VDzwx2LOGWJ24SWy7yy7yrhHqFVAlyWCod6Mtjs99nUPYguzShBvBznBaPf9
Isay2bWYxQZ27QmJn9J/LyKF0BZpoXvl2aktdl2V5u9NLNm2yqrOL7u+qLN7c1AjLeKyo+VBUz1b
sCQeZMfKAYu0uQBjl/8V9lfFvgEYgbeewj7uyeHBM7zTQBGDVUlMJi4TTQcKLiLFK4tXKNpMOZJF
sLwaJ0cw2zFJrOWIGq+G3MrQiL4i4lcODuGDPEXaz0Q78MuyjyWqlZMHeSiIyzzYgJF3CuUCvbAM
umBLNuPS6xCvOkLdyupyU3i5TxAv9FXUArD8L6asEo/anxhqy5L2DclS42WrPvdBdVSuWBeWyDAR
glSEC5dBK8AO6eLPmUTHxuzjSvt/Zt9Y/tA3BrxNTD+q//u//vGHlwC4n/7LlkDUdrrt3hZtjwb4
+t//9b3cXf7N//T//Ed23Hel0JfXPAa8r9sm/tb+K8PI5rz5fbnQPylIf5n+cvH2v//XT0oj8cFA
Wn7+H64MASIbi5fvWyCLmFIonj/Dm27//lfD+xvlP6UV2t8FcmRR2/wmHuI2WfLnUPMs6h6eyP/0
ZJh/M5XrOyanoq1MAOj/E0/Gr+WTq/j1OApwIGJixl/w86NCdOAkHbgxeMG0u3WsPjmOQhO+TQTq
5ofP6Ob74f0XZnI3pB+1+u9/XX7Vj0f68qccKjSXPD7OdfuXgrcqOcMMn4grjKb1Zhoq8on8hj7Z
rsXeN2q50WPMHTO26k+eP97P59ti9WAs7HiOxUugXPz1+dOFWBMFMeqrbqjynW4nSSJn4G/TCGwz
VUV60owpaOxfU8N2djGrio0Ose2TROS+xKR4gjETQKRd/hNl92Np1hQNARHAcgwuXCvzVoUde8cJ
wk7p6vw4TOG8rwxjPA1Zf8pUnWxxjuAV6aN6T45GvM2V8UyYavZJT4F/kHXq8SzRRnCHNiLZRV4M
VDH3HwPHny7ZJLg7c7TTb62yv3rJeEfJgxtiMj02M+Wkv9CUsaOchvxY2TTaWN14B0JahzgeqNG8
KXIPzqSI4uim4TELRLWBL54fnM6yt44iusubZZdhVLceAb8u2QC1u61Ms1ppq/TA0cC4yVuCbNlM
h1fs81oy+AJvV07t5yL2X1PV+CffR7/1x1eNQEf364XDrYN5SfiOJUkt/LUWlOGYd5XDxGFkVEq2
gTQvzSCCRGp02D3MYn6v6qZ6wWOsVqG/xCgKOVaXhfZSsCGLZbprlgVJRDaGs1iqHTNwHkhb7anq
cSFEi/V61m0o12YH02ZyLT7CoGbboiaLgMDZ2lg9Fm5yccMDQ37G4ovBm3LG3EZ4vhWR8SebVPhj
BQPwNmrYzCSLSVwFVb5Vi3E86OP3erGS68r6lizm8n6xmbeL4XycFms95tDtDDvTXc+AsNMmemlm
w1ixHGCBF3XmOvGqZ88wmkursqyD4/kpzowipEdPbfeRI8K8THHePOITsl6y1LQYxZt67TH03mJZ
dR5U2GA6EUGyw2P0NrQDY+S+ubJAScE0So37xne/BV33deiQJEAbOwqDHAg4Xuktnhfjjll/vS0i
hHRg1ad1OVO6dBncBXuKo00MdPyhNP3LIZGCVaQo76oQbE7TpO4W42/D9Yn+h06l32du/GkmR+rY
h4vY2UZ0TEw0w6K+jfHnK/yvATUZ1nP3U9GhQm96DjJUAeoM3j67E0knHnrIVgHPeJw1AZDEDchc
IPy2gclcJPVJYFTYChBBh76LAE7WOH1bB4GwMec9owHYYMhwG5IKpTxx2AoQsqSHx245Xw5gN5YI
qN2Y9/6mQBemVq4BHZVqa5P1pnENnmc8Kvr3rZa1uWk8oz/xjiDJJKIK1kaSiC0AF9gzU2qdSu4k
9Nthe/Aq67VIZiimvXfVG/VwZqDZb0nEzokfV9beGqS8Zbmv9y4DFcA/WVS+KdsdtsqUpyl0sVml
lQkbjSWNbUPUdZlYHFsGPnsdTxUmf8Ozru2YtYfFKpjIeBF7a+UyrxGp94ncuH7VNC78sQWeoylO
D3auid0zen44qGm44F/I48gUidhMIDx17XwaPe9rxfJwlaSuhTkV0QTg13xDcwHGB55Pm2anfAH8
+P3C+nE9hlvjAgCy7OlkQgRyjQTfvJeHLOB6/4ymr1pyD6rPU53K20iE8SZP8SsZfmbtvQ/qEDNM
xQ2Px7ZaoEQ09PCJktqB8oGQP9l4NbZ7a84RAWm7RxT0QTjq6Rv3zYI9ChYAUvrBQtKp63814ym7
QfaHXTcFmhQt+CS5gJTGD6YSoUfmOVtAS27NMCZf4EsNXGn45h5IJiCGxd7toVQaPrJ9Tew2Stbs
CsZJDMITrFPFIk80DaSnZoE+QZkV+OO9Vz8cJNKnBQ5loztYQTEpHsBhDU/jApGKanBS4wKWMhIQ
U8kCm+oX7FSGTegU4aKGlCsIcPAWQFW2oKr6BVrFCJXMtX5BWVm6a87lZGAiKD5YV1qmyRGBS/gI
WCC5Dj6oWOBaIWSFIVr6ZsFmBSaTp25BaekFqsXRWe/AFgdXzaAJipvn8j2Dj6s/SLkZzFz3g56b
f5B0Qxdm19RN6Qud8YysLVcHp54c7pRM51fu4C+caIXS/4PTKyH2tq1/GS0IXzcyikPzgfWF79sv
oN9sLv3HOBr0Xi4YYDeYJRaw6M7ue+uiSbneQBUkR1MjBSiRyp2R2aFDWfDCTpQ4G3CMl0Mh1Isw
jXxvfPCIXayyEIHL6Z4ppPcttCBTj44AYSzIDmqDLFz7CkleDel4GOz6qWsnY1rF7BVXeOyyDSlR
wQaCTPTFceR0Zy3oZCSB4VobNqtnGptdtiCW+wW2PEuwyyIBwCwXFLNPyADZbX5Cc5uDZMWdO170
H/xmd0E5m3TFt9aCd8am8IoU1z5UDVlFXoaps/CS6lAk1dXAnnhLXcBDtjXUBUor0ia0cw/jQl1o
yyBqgWapebbdmokXU/8t5B7iQJSKCMJG1eHA/tvEST3cxcSS3JpEhJOjoXkSCcR1CIgy4q4ZxKwa
y8ZrNhCh5/fwhvrwFkSUvc4VzoVaYarMfWAQneAWdYq6X8O+LrFkxNvJthHmNh4dTkPe3Aim9Rka
V7tL1EQnEnvut1wRvpJ6lXyqgxSEhF9dET23tbqY2yylViGrHm5uyhNOmLq8CQZb3/gdLeJKB358
CvrWOwwyVdvOaMKDU9UcREP9VqHvvIzhLh3rWV/30t0zeb63mK/vPR8n1ATn4RQgtEO8NJsQBlOA
ArqClh8ZaXuTS1AsiupFVU15i/oGP1JqTfY+SBoDJXwsPrN4NLc+Q+a7GnXxp7Dk8UAI4fgF/R1x
nSMQIT92TcyITo25kH+5cwarWvVVP6yprC2k8NoCMqlYsmhEfQ3YUGDviqzKnvm1x24JCHi60hNc
5kqnHng+u3yy+shcYePdj5TLay7u5FkBqdzCBGfrak/EPFRqvgE0YZO1FILcolAgYQVVMZCrcTwg
VdX7wefhm9tNtzW9Yd5om61yGHfmDhmNfZdZifXgS+e5rO1XxyvcMzGI2UMdeu3BUepQOVnDIrk+
o9fHa9sN3U6jHcO0rYzLcMQ9CbWAyYY0ULVOA5A2dFKbMTAI8GNwiLA5rLpnE0DIDOog8Be9OthC
I67JdccihiIpuwCeJzjCWDCOukRFPA0Z0ZQDe00DWMXskgCpZgKKA7sxvppDYF+nhd98duLIea9r
8JAO186RYUtwLaWVXwlkcquQEd+lJSry2SvD3ao2IIJkyPneg9Bn5p5rrNK2Kr07ZtkVJHpmE6lu
q6vGc+S+pw7YFRzB2IWl2Z+wmmUPaGO6nZ1MABptMwxuiX+N903GBhHbKjdX3883uu+HqwnD+RMK
WRv3ahk+VBEqmZAwG6xItYtrwWyjLclD04Vv5rBuIMqv/H6R3iNEOFOfJHcmqQt3MSv2A5UGxr8O
btzXVEPNAzFG8h4wCX2auVuebTwK3Uohaj9YcKQ2FoFfXHaNkOTE4QYMRxlAMC3NgUDIUt+kzNHR
D2NSOnRh5h4pCDKWPh0fUeSLL1iiwdnWdRUwp+MY7Kq+u5h1QloDExK5N2Hh4Daekl3buM29ynq9
cxan3bYZku6b0cngZert/sYKpu5VhTUhQ/AnDxLA9TVGW4ePn0ibE5kk6TZ0Jp+QFKO8SnMFj7Pu
CLS0YOOgPupDvORKVpdYDBSOwdn9qmMeQUE2iJsap8LakS0VNTPV/0PdmebGjl1beioegOli3/x5
wAtGH5JCva70h1DLnof9ITmnN4o3sfqOnHZmXndwFVB4BSQSaeTNsBQRJM/ea61v3cYyB2nTlO3J
JqDVstLVtK+hN/srf7QTIp7ZYNN/5xIto5wnjTdIvHScMA0RqZCVQ8IvtSzvYHu+X4UdqOptMyT4
c0mwRORIEvsjigrceWZV4M4ycPY3ptaFbPiZDUujeOK9KbichX4eCpCcLR/ko1u46MAUeB+5/MVr
D43cW9X4I9ZZXJr4cBtMVJkDQaDF407tEgwiN3mSyJ/73J9msoRDdYAL7pynrNfoZywbykYn19k4
FIJ+GNBZb3WHPSsciIqHDcFvu8l1a4VxzaTSmNS+BO1y9jK/5tDHk6qLx4iWwDbezIgzB9PFE9bV
hKXDAbvoWV/ojYT4HfBQ4sQFvTN9oWWdqRlOfrE3GPAeAUhL7N8ej3e99I5epOyw7N0huImkqY7m
LLxniyLrxwKH86XdkE6PeSgfCCDFIXEK6zgTtr9hfcrxmzTTsyT7sCLa0R98wf1+lY9w6HR7BkWV
wNWxcxLPNFAybquV7TBGLWV6dUKTcbnAbBXeu0w684rHj7U36qVTh15UQMourHcZc2uXprF8WJGm
Y3SvWpiQfvcKKJDzPUbOncwtr1ov7KoZVornhDotFpChrRkPhjNHFDws8wqxhsQs7XsyqXZDHZf0
w5SOfW+Qq7pMMnhPeq0PJZ3gLIFXNCg2U5jOC1dApcuHdIycg42z90AQW2zqoq6BGZJs0laBX0b7
BTlyl7tDQKND4J7J6PAY5s/scMSFYkjaCguEWd7FiIA74I7c1Sf/o6motMgLzbzBNU0XIZU9uyIo
CO9TZahqYJY0hOZ3YmgoTzOOD1BkEHPBG8JdTnnU4/c1onUOjp05xYC5ZICs4tpB++oAuxe6P++B
gB18cDV7yEw4DhH093XdTFt884c0wuJFwyfl6w6956XZmBtb9M4eVZVPeSSP43AGDQPeRjrDpmht
ldR7rPomarfDqPePwqK0EC+IFpapeTU0OMNkS5c5pxqdA70CSjZmbf8wxUgxZTm7x64QHM9qn7LY
fqrzzZDQPub68FzLWbYbEVDUaoJW2pgpkOeOC+2KB0h2BY/wSOTcOlBxDESQ5nJ/J0GNXea2Vh0o
L0G4LpoaMbitQd65/VFgx1t10rcxR81iZxlFGZoMsVt7psO+ywYJRapmq4OHwoYe0pvTukiwjKdp
S1eF23dvLhWc9ITxOszi5ikfZb8e2olybjmGmJo522Ek/5FzB9q4eaQfx6Bojk6KYjC7rAWEN96k
yJlr6Y79uopySdTZ/GE32qNu4mwWLg1EWJNw/BoqvdHnJcw8lnOhPuuwgdxl2bgTxXOLjIBvFEAl
5mqpXwcjEa+dWzXrLuEjp846PfiVFC/sttvNMGRq9zFiLEKSAh8LcmhnCwZjYTTpZdSq+HwGm2Ke
8dwqSCD4udLUh51toAthyHZA8xVbLE0YMAMatMENmE8dW+9dMpXdWwIk9B5TBVc0vaBr5DR9iz0W
+rRn5Me+hUBsT1Z81kv4y4PXBnuXmfTJwn3O+K33R92HzOXpscEmMamcKzuOdxQ4YJD37Op+zpPm
Aq9RflHUlfGFYO6vxrh8Wmil3Qdxo2/r1oeKTRNrOPfI7EPejseGpDH58wSAWBAIgye8Fq3b3mLn
5FjZbsi5wc+JOoN6Xffq4pXapwuzkywnna7bjs2eW3CFuxz6RK2N5zmRtAdpfoEDMG1A83X+fe02
u7zAkjaiBIaVDdqBrtlh46VxyqhayxVdJfbRNCPAaXohBe16oztQydJOu5kHJ02XkQ1pnU8H72ID
zy8FiA5rW+ibiaDJKcvleNQUjcXr0BcGvhsbAw/QzjZj53aoDPsaNDT8C0qYN2S5AUsTQmYNmm2a
hj6wTnD8p6Q42RfsfLICOdxipl2riYzkdgBLNZapBWKhm6sHh5/oA9tHcWOO3GWwGeHhdPtqqOhx
a5qbSq9kuyJHOr4MXZVDP0yf8kzcV4Zl7AMdyqFHe99tthwDlm1bTFPsW/QArH3SpleM3fNKzFX9
2MnFOWEIBNbSD92DkY3uMQsoU6t0ImbsiOLoGOG+ptlJRqdZFEfOtVeqJVVBYGeyhVgy4xhStyCT
BVmD3PXr4BYUJuvmDV4Fc8uprmg4ZwWnJgFrzsohP80cGfgceFSsOeEmHCKJ6TumXb9kTv05pMF9
pwfzbZa4M8WnqfE551OzppaOjzV1l5PV9F63hjxqf86xqpxy/XliWPgb+y0BC2+fJN2wyarc2hXL
bMJmyxwv/Dbi1sViX7iToz9awZge9JJFQWgVkl94wqJ0+NWW68vpJpsdY9vqGFZWpldy9WcNtNWf
/bncqKHQ5TBhbG181D2ktX/t0aWTe0+PE/SaTltOmu8lMGgo2U1rbJyUJsSf32Zd1TkVdplz888M
u51dyCeuHvK/yrVrkere6HUHIKFMV0JM8Pu+7bvsPvJz4TGrNbY5PdZFZh6wUQYXcEbbx28XLw0m
+mYmGXLV16qQr2M1++3phc5JBCcozpXQXzGKZMeFVeS+F4G8iEA90/EwO2cUluxJA20t/uLr9YmD
xLGvwbz5vbm3GqB/6j6rV4gzf3H4FkufvBsZA/IaEXjik7FooS0zHHx/NfyWhvyA3lQ+4EioqPCb
YS1j0eewmmutuw+ok9lHQDN2aMTi4mczMKJ6cScs9TBvGpkrHfBzjpq3iaNM+KsxWLH22ynKHzq4
dfjX26mFXpCOMyAIs1h1/Pv9WBrl8983DE+jAbpp0qqrb9fwRD0Tx9Suz0DsYB3WEiu+5533Dr/Y
h9OYNRnB4schmq9/YyPusLDdu5bSNAsxshIEYNuByWKyg/dBqRUc7LEvo+OCjs7uTwwvKQPHekjb
Duewxe4Uz/nGbE396ICgu4hrCFaT51gXbkeHAnRGDlFRKx/6BYTEWEFWhzgOr1dv8aDaibJeTpXX
bGdo8tdzoJmX4xB8Uno2EQV1sit7WD48n5atAgLvumbLh9tL925bmpC3tcHzVNOD5b4o+OqBm/Fv
VYBnPWpJd1mPAPs8+m34EGr3EXdewEjP5Y5J14bZMNQZnlOvfWwysmC0F1+Y/SKvJk4OJDu13eww
pjQOjXg+z2N4fJa+6ZV7FT3nMnABOvWsn1fOYC670u6yAzUd10STueHbhN0eg7KtLsk6c90Osjxj
zcq2KMcDbIxuhrw0RZzJretSb+EZUV9o3kRkqg9LEIuD2zTaQ6pjdMipogWZSwOokzcL7QvAQLbf
J54IF3nYlyDQ2lGP30hvZy9JnKk/YwyMEZqdbQXg3tAgsPcyxQbrNYsnmhWBkWFn6q8l83zG89P5
Stp6uMMwnTwtNTIfXiyTkjpPPpBVoKxa9u1zq6XTvqaTnqRUpYezdMrLCZMhZHB7Pnux3bxEGmdi
a3B9UDVJ8VU548QUHMQfAYBHyj5bCq27wYQvzbhCFcijpk88LUha/BC2iHZMmoj5jneoprjFmRLc
5wqEi+3BWv0xRfEg9wBOkWHQ3XdONIZllMEdBzPe7fF9dLf0kvsbDfvXycJU++Nb3fp/JqD/Vj//
j92nuHqlqOxbRv+rrP5nIf2v//N/ksquyqL/scr+n0MPEqn87/96VfTD8LXqX9/a9Hf8wz+L7epl
fhHbrT8ZthPoAAvZZ5suq6O/iu226pVGbPdYcGLcwdj7W7UdcwpeRw+MGo4zF3/KX9R280/AErHO
6bzst0r/76jtPzlzlBBtGnAPleLPP1rezxq4O8cJaW+xsgdvNXLcmcRRLuOuys5Zy+guaJtXnvTR
22BV+xcy+DcG5CcF3vE8xyVtA8nE0ZXQ+hsn1By5iohF3fA8VcsVrCGw73oNlapN+g3i4CtxI5ud
N3foeESvS1VpWt0w/cIBSkOMUJjkfCKBOhvA7Ug4bQ2uuaZTJfgENTXsbU7c3E/ZN1O0se51c9r/
5hvw9zwE35bFn34HfLM2aBXH46P6mSHpSi1to4lOpBjrz/MQO9Fu+t4o+IAk4/ibShX4B0ttHhhu
rUvMJ4B8nXok09jVG3ou4zDWRvNS6HN1pOeD3YX/vcdIRlprnXHsN7xH72aacAd3xhm3ow4hTa0/
ZMetqsMjEJajNDfMvM0WdqHOiAIImwxPsXbIC94M7ngHAPfKjecgHNVyJc7MWwUfP3cBRkxPJ+bk
JE8W6UtQUTSEY/x54ogv2T/p0IVT45ym7PNwatUAlIKzkbgA+yKEkZwNzioiFLTCxvBix1iTIrXx
6SbCJiYxt63kt1mZC9z0SG2FSq8laljKLymDS71L8q0Yle2C8jjwacZzN84ec5w13WDzB8LSpeT8
B5vqxnnaWrRscuyW724fhYhgCVQz5ICYj19RXoyOdJRc3mQiTo4PcU/OuuBMKQJOZFGYmRKJkqQj
gcQuBPGSh5K1wuiN1ICMJsyR4TaCDkeF45VNmmtd1fmrBUluozvJV+fPn9qovS1LfSfG/KpJ9K8p
gP9fSNq43jr270ltHYO8utaM6BgvxYak30kCIVmV5LDCqlRLAZEY5HqDW83QMYBkdLga/S3FI/2G
0Z0Vhl9de6TFZKYbYdC4oZfZJdem9kFiiNVY4z8R4qLjma9RZsdvYHJvmrx+xlICRzqi/XaiCcIg
fKtp13qx8GyxabuRbh3yfw8czn0CofFGcvDSXJZTNC4UJqbajlXljzjT9n4NgDAWwEaoXRjx/Xs0
KXnudBBB8uZRlhJ5yU4C82Ve/DEazV1VW5e51hf7tmLVSzx/Hc2NedL7xliDqTymPUBHt9vQdhh2
XbW14+HW4aOZDQbEml8psZO3luKMrovBBLsHTjaUCjQHaSq2W4J6pW+dZdoJlRWCouaxDkWQSmAo
JzE5/vjAkWDXTbwXjTjFiQzncXyil2gHZmBtBM5FukzbWlAtQTpIMezsZ7A2a2MS+ypOD0tbbsu8
hVMj0p1mykuTAwU2pAcHIsR6oK2AlQRYh4GKGvoj6dk2PjFf70s3e4NhcG6j6pKF1smn8NAvjDt+
ZiJJY/IWNyMxveAEs7oOLS+Bp5y6q85xL31jOfXtcGzl+OQH02PnDGBLqGNeV4szrzmM4IdkrqTs
yxq3goTnKnKzBmQppaNNjYG8U0vdsnYFlEoWveiprEh1cJom7ZmdWM7KiLLjXWoZXxDrywhmLFcd
c61aG5eDzQY5ctqMddmQ3EA553rGRHtFBbBEbWOZ0Em4KsFUutfA4SdS/8y5idpMj99LajkEBasR
pyaeKIa7YaKPIyiWCeycn/ebYQrq51Ka/snMB/qcGphvePq7VyqFxr2gtSzMqzHdAwHxto6oQX82
VEPpBoiRVOjpRb0sIOdQxza5CJDmNXrt8Y7am0L6F3qd0teSJ8NB2nm6CQb4qijhUkWgvBtZBPOJ
MydTDN7TNRBYrJ4GQ0cL9C10beALc8s7GVvYUEjm6pQikb/UawwpKe7RB0lTTRgluAh0/3ppTTg7
/ECBsdPsmLM0fCHqOXQ0E9sWX/jGw7mMAGEXJ1aYRDQ521a3PYrLSMw168VW0+orqxrPsrbT0Pe0
S0+k13rJAJnnZ03L120s17Wp3dI1/Al2aYi8OwAiW4fVR4nKqM/eSW/m11if3owJBlClNru2yK+s
eTnqTaDdwtl4zILoghDmfk67d9C0n9QMnKrSuPas6LaTzq5qjL3MiRwYLI7bwT+YOtdmVONALTCP
sLEHijl5j4joFzw/8d+5K1iaW9uvYGz2/oWYxmcC/qfAFg8WtQihh8TMkfoGd3G09uDvrWdhHpZq
AW248O2xqQ1qAX5Fy5UwsssIcb71KTFK11hbMT6rWuViLust5Z8PEQ8CiqXQH/rypfbTN7N3PBoM
5Ln2CgAeff2Asfpa9sklDtvhPS7S3ZjVQUhj9anB27wOZLRyOoPd9HALGWSfZNFLBdfPiK7zCP6d
upWaWnYARHQgZI+HlRK/1Av2XTBS2jVtk+Euc/BUd+Z2qshXpO4uc1w6eSb2ylPhb8uedGBSOo1q
XAlWupXfDX5x5/eC+8cSPQgRt9h/4sulckMdXgviTuik+tmU3bUQPTHLIhQZ4NwEmh7qkhPCucf3
RlQ9KW87mC1hHxtXrHrptO3nz2CpE3xgC43NeKLJkHU8/9AIA63/AIr2UQJugqRjf/XCf5odpzzS
Nv7ec2nca4V9N7tfGSFjUbZvrJO2rT89xmxImyZ6RgOhVwvMSH/N/jtmtRjfL3N975SUmsClPIwL
nbjZ0l9HWrHwPS4cWtWpU5Ez2XnNS98FdGHcejlN4fiu2JXEW87QP2TN7BRrmzGgjB1I0xdVVRek
vC6AZIKh9ZxriBAnxAII9w3+G6zSKyean6Ze+yT7tQnS5aF3Kuzs8ihGvpzcNlCmyzBftGuf1SfF
lC9uZUZ4C1BiqVXjFw9eXHdngx+iyHkXD6pJPbJXdMg+W/xnDFjjbd8790XLrgMD5V0SzPBF9YFS
Gv+4gMkKqyHZ53QWYD/YePhKMyPfxW1/ibfsNRnNu6JNv7QRuIuI9G2Pi3811949RQYhalYVUlzG
Oi0QR4Ek7MN+tcFz5YjwSxzqLNPKdNw3ZvMuFxb0tk6ZjeuDGIiaD5/WlVhu8KB85N58mvND4pm7
IPUjWtHdduvp99rUFRtON6gW8XSR9fa67j3uafGj1tyRCtoTG9tQyJFhHZrIlGsuVu3qmY7rLcyz
jREN3B79OxGIkKfRG00Pz6k3sYU82uWdqoczl2CjZYuOGrkzG5sDN7v1Dy9LTgKLOpTphaWaMxe7
ySeII3Nbdc9n8WNlTdeJ1UGKa0EgxLW4Rqd7b7U53fjtAnKXNBE+h/jdjIZr1SOxuM6+jQOfCmvE
l6Ld0Ya1RaOxQ8+p51NQcmPTjfraafVxZ5cjhQuleSM6vgt+r8GmCo4ZSGHckpd+DZJXz2lDTvQH
rfPue61Jd1M02ytq7PyT1tpN6EZ1E+aOR1uGf5/ZGeOBrXd4EmJrhYyihVZgaOu4mvZVGyjVnZxe
JqmqAOM2EvK10cpvWIKMG/jY94nm7JOluuDJeZwWoqKdUk/83KoupQafoyWzszW97rPHN8c1shhH
ay6oMHHzL8eDIJUBAMtHwCHwcF8zI72k/lmutamhA8G568AUh+A31uxgYKzVsidX6zvnZm4vamE/
RYhaha99IV0dbcEBG1e9A9p7oR2OrtIfec5Pz1jUqxC5zr9gzEhNnV5AKpNsA+8cDIPb0pq/8N+J
B8y49Cp5bQ9nOznnRq6vWSk+U+h0aKve3FFYmpE99t2tOfM2Z5a7z6q52cRxesYB+RK30RdZtyKU
kM5ZZKYfc6IVW3/ht/EkGIGex3WrGGR2RSDNp9wEjIGebObGjV4HqmU418wLCzkCazc0x86r7zEn
UXogoFoG00yphEQr23XhYXu2FM9n+VYTv0eqSgN0HjV8/zSvra/yZTFvaiVF8m3/mL7FyWHwd4kS
LKF3dBt3aN0Npc3Drhzwdk1K3Sxb4Z0zF8VzysZh5ysVdIihUISVZaH5Kxse257slBZAtlw8sQfi
WPIhUZoqjzmKeqK5A+b2rbcWCcadMMqt4K5Vqmz/LdAuSqv1EG3pIyUhCRSfYAuafumJlVMjRnEO
eimK4Fog+4qmA4LjZUyQWW1DzcbkwkmLLIfPvokeSMzpsyEuajvow2Uy2FdFRn7TgH9cpW2Cqjw7
RzEBHercdkJgIAUE7EluZyfbaglCVk3xfYh1IN3GedZTH5TVt4gtwVudqRuLreRra5GUrfek9ant
Ap6vVf0By/Gy04nQ7qgFbumOh9tuKzncLnVxoiT3kz1gG+ap75zcKf0AK81KPZXZKRsa+Ugq56VO
9JlzPTL7H3+1+4/K329IHEhui+OFPPce3qK7+eOvNv1KGfE7dgAcBfn94fRxHPOZHLOS50408aZb
JezEf38jdskNS3Tiq/95k/W7dde9KPnrn/6Rf/hC/wODJ6ahNlL/eB12TXnde1q/fgi1DvvPrh9Y
hnW/ja78+RV+2YTZf3IY1ol2gKUl507Q5K+bMA9mLW0gbMKIUJP/dn4Hrf2Opfskq+3vfddvN2E+
ZjL+O5eZg0TLvwWt9f620kLtwEyCu9SSqOjJT6swUZfcohpqn9Ii6vbLuEwrK9N3KTr/RaPp3t7E
HbauCcKsuDtheqwLbU1ZmLEy9S7+wlbQHEpvGY+TUnEbHVGsdAo2KUrj5bwJixVwRkiPgr/S4jrd
I/i5BxpdlXTLIxWZorkwIWXd95IKi7KgQUtwmTXUGrizV+CcUBKzPloYqDIcuB50/7Ad6coMahif
NcGus+261k7zEL59EbzbYtTD2E8lTymsghmVFENZPzpK2B5MiHq+ErsVGhyqOgK4yLDQzWbLBD5f
N2V57fJMNWb14jEeXzLXzUpPIrrIlITOPgAN1XVv0YBYUCuh3VKSezK37ckDxHaJd2y5HMxM7Pw+
du9qJdOb6hZaZMRbp8qgx0wp+a3S9DOl7psyC+YVMmG5dvXuUhoebjvYBy8VI/iBtWDCRNw1sEnx
DCxYzkLO2wzWmBB+UBz9MLc+qF3lNBD4f4G2cvfJJnw18Gstu332VZ5TfnsUKmVX0LljrKqxc3Fd
Gmuo3BL13OjXifI5VBgeJuV8sJUHwpsG3BAFv0KsVTEtVmS2UaunlayxTswCX04veZwy4/ZrniBY
zlsX2yMxDzx2fvcGjcTckCaxV3qPO8PoNcrrAt/8CIDJg5aIBnIwgodTt/QEPmuOu8rqAQjV2YuE
9SfMkf4IG89Yuw56eZryt9yn4XRU1hE96P0dQBv8JDicLFroMI8qYs8xBfAXuhMmuqWnw1ibEQQL
5U9J47E99cqzwleAClhBDsqN2x8iT6ZzYTGHNqnZHGb4dudhjL2tib18TZ6Igywck02rLDFjbVrH
FAzLCbfja5vIB1FQ7FnGsXXiHr2ESLuAHOZkePQHO1vnrqA0y1MGHM3I0nW9UOkxKXuOa3BZzTjn
rmiYMHGIErbUzZS92Cz0fVeK90U5flI5pCdPuYBi7EC58gWBHcbsaHGMbpVryFL+oVzSieAP5ngT
qBOGGUvYQ5M6d3TCRT0noLQXsz6tO3U+idkwUk/FmQXaGbBDTjEDx5kYHuG+IBXFCYeljhUHL5qW
nHkINZyW/X1ZoI4Z6oBEj2e+sSbd3OGdo9NMPOsJOYyuy87lwvvHdxKbgjp0lZPxxZLx1lLHMW3U
v8D/LCy2OKq1saNfwFXs8UFA58vVkS4evWIPCs65sGlVhAzZHolqfZk91n7dfYLVeAHHzT1TBQp/
v7GAHGtGfNfjN157pPWwzYzrwWRiXFQhQRGVkIrJWylhuP/RxXa5oaiHtkCKpm9S2ftrUmAm9ynX
eTBpZJgKZwab4FLTqsvpUNEGjkxXeXsX7uuurUsLGoRrHXG30KWeGo8tRMjDVLcWj+M6piGQwoHe
rW8wbrh7boFPdkORCmJ4iMOdbR79JKiwycZrYiZm4xM2kXndYsG7FHF950hrfEySzOe14zIs4xxa
WDMRDAmAXjott6Q8yZmZa77knTmI04z3ajX0LFdlnWyqyeD6g14Mf1EVWfAg4p+8+DYbhn5j6dQV
ankXMe/gHDbGBDZjYhr3GJPYh5m9GY4pBwsEXH8j3aXZ8l2QWy2lFqd1aiMDUZO8ZmUyU4TB/NNV
Uq6yHkEva8tXtFMzdDNemH2StXIdZX+H9NzmpnfUEgGoRtC0O5V1tIN1ITfsuK7HtiS8ZxoGWoh5
bTfdDuzlW9p17X7qDDABkTi2sFt3GGx+VHiC1oXTXzN/arAfp0niBqIjwQs0foa4vzYAXlA4mpOb
64t8D6OwDSmIpS6+Tp7nmGWL2ynjaldz880xC9f+Vt16QcadHB3nfwRKG4GGYJLegVqaXPoKdWvm
MuR7ZQb6nnXec7ekTpgLQxziiFtW5Yu9Z4L+WhYWjGaAzt4YkBvMKM1vLHDmmT2c07bXQ6DXb10w
MCdmxcUSN1dtPO7aMttMi/PZmngNgfmecgwT8YJj3ZBGuY5nk28aJKcQ5O9TnwPIMeryasQU7U7V
4+hFe5KGJ1g7F8Iy3xngXtUR2fXtO1bNN3HGdsIhmZzi8FL0NaACNQkU21rWkdWjdufpI3teLWyD
skJ+8nlCMbcBVJRh3XCED4zxatHTD9mV7kbaM1UJzjKwwqBz1JsbC8snXwO9yMlhz2hU9G7MG7Lj
rGKr+YUdFP2cPl/hSX374n4yV3Xqb/OWOEUO48YpFnrsczb43PmtRH+fKM5g88hUV8viq8wBBDT5
OIVd5FPXoshsND3iCrAv8BfTQljwiVX4QbLCuc7A0eHzFdcO+7dVvriUkOLGqOfl8fs7HjkwZ1uP
xzartVVC8YTHM3nVj8gLk9nf0Db5kmR4o3Lbf9XK4HYui6+2NHibh9u242dKxAJjWhQVWYiCcuxa
a79fni3CD9OSKxd74xpiGzfZwd5yoNvr08jF73CbK/2uxHen02MzkF7STOBuBOJjmlzbC4uvKKaN
7Kvyyw2JkWZf1c78zKUECynIvnwsVKtSq1kE5NhQpt4C8t2QoYl6Dlrg7iiuwEc7171AuAK0Bnef
HXjEXi9qh6vAKR48UTcAQS3rgNGLYsmMe1jrkQsze97VwXavvl+6Nszozoa2Cj1I91ZRxn3B8Cot
TAbN38XO4K9pLn1NdF5NH6Q4fH/sQiEprG6eCKMMwNgCDcttWdzxEA6Lhuky0YfbPMetZdfGI4Fn
Q+3B5zVcipJtkWNiYmJdkREuojeBz2NMsXTUXf0+ZODYyvKzWrj9ldRjoc5KGuL8UdLtEisZRnK9
g+fVnOWVdgUoAvrEpzQxL7oDG0iEGwzk9GAlEXgDLc5Ziw/ZV2aS8INVWVFalG7TNgZzXLKS0Jto
x6lRZ6PBvQ1LQroTgPxXVoJYMDQ1ztjGuLI7w3yfYhNC7ODT9BikhANgGtY9LQMtEUoTD78/UMEQ
6XxClMg+uOpbwKdawJijxtzokRyptSgvQZFd+1ZEMVdFTU6WjD/6ssErX5DT6GqXbflsmluPxMyx
BaKxCmYNFreubsx6VKSb0cvFlkiB5MBBituEHnlTt0hOpYQyTZjUZ6FJl1ak0dsMv/bRUcTHUlPi
h1M9C8lrVgYJAW/EUllIG3WQEu3QMycn5JbQHJtlsW5zpobVIoMPkqEeN1xkobrh7DixfR9Zo4dy
4fRTVubZHEm117go6SbAB9PEeEtiOBTrtLeMW3r2+LhTlb5FAtv1MompLoqM1YIF6hSJRgshxCrb
bVOyf+WZhNKDs9ccW8YTeLC7zm9h19GfRLdbS7RmtOWZIR+fZE+dtFcyxgurHPdLg5W0INyxK0kT
b5mxgjBty2fYT/oWIzqPJyeQ5yx27l09PfFrYTHnDDvLvDn6C+uIUh1lppTqT4p+k32PBfPCgC34
wkHd4H2csZs7C0YY1kT9wQmKdNuPyQehILTjajZ5hzgwjcqq6qfzHc/l/v9gaP+/Gcd/N9f/f2Rj
sWzQSv90aH/97//q/vD42r2LP/yvP2yGLn/9SH87s//yCr+yIkxXsSICBvaAihhwDb+wIqw/2Q7d
M6o9k+Y+w1Dz8q+wCCb8wAT0YtpwuizwB7/aV0CueCRXoPqY//bQ/nMQn4Hd9XTbgEsSmKb7E1fG
xVamLYVBuR5cyAS3ucfDykU2pz6QucyuD795r/6O2+Nv4RSuC+3Ts1hX2BZ2md/7Vaa8LoBxEUCp
yrrei0zcEll5tMbE/xcUMVYOf/OreZxRDD5PvPi++Q0R+o01xi41Zoko4Jg7ITF08ZnHVsMEOP/I
Em7KhYUMQW/KZaNzP54yq3qp0noPMI5HT4YORp/7BsJ3d6gwwqzmbnjwqlcvL9et1MxTXDVvBNTa
4wDsedeVgGQSWXtreK10CyNOh0Lj1ucumbvLRwKuHPq0J/CawXXMpNmR8bNnbrKdKJZLL+WpM83D
TaM61KRGYqMefKC4SyI2cjGKLY1m8ZNlpuJoTnIzxSVBf9XIpqrZ/NZIT7RWiLeqo7hNDl53O43s
1Ftn/qK7CkVYt+UdAvylZvmftIkij6syuIVWuFbVwxGtrdbCBIHmOIu/ES1EC48+Od/KKKrUYNHS
5q2Df5YTrdVF/j6yel8DG3rG/3wjyJ7sQAWgmXTRoaa+DjpRDYPZ48A+G91Vp1rubFJv1tydGzP6
AUC3X40OvsGSlsweLx9AXtu4DGb3Ou2KBx9O7YaK8OzWVcV60rO0U0z0bisc7XForFZ5VwK1TcFV
rVHOR88W2x36+mKN4j5uixWEdP01+y714+0/+0osj10Kz2RWT4+JqgHMVCGgpaoBUyjVWzpH5a2g
N1BOo9h1YwERWtPKO06IePN1EW0ywE50kKNsUMqmcrf6q78YxslUFYUE9eNQdpCbY5fxtVGLah2T
hzpL8myHgP7U03iYEki9cWmaDGm7dvZT61qnCVMUMUySySuT3kSD/kR86H44qUrFkpD9xlQ1iyYM
y5XpskwTqoRxlAbfL1XM6KnYU6fKGl3izEcrjupNU7u7gglkBW20YoANOjYM/Zb+wvqwDH73MtO3
vYbzRuth04z7ApvxqWy7U+sFNLuPDUedhrMD+k//puL4axfr5Eabh2Bd2tiL+tGgd8lp7rIIcQaX
zMFo6ydNgScsppG10IqKFX5yN8ZqBGkInxoTc5lFgm7V6N6VXFzkbpDAuXSZcuYXf1ouU9e/YWW2
GXVScEPxrtfynaT+Yx81PyxOMUEV/RC9PPR9duS93i9U43Hxurd6q5hf9sQ3w11w6+eXXZa+wo3h
tGbWzoPn89snc3wYOuwPI5hmu8cYmxnuvaVXYpPXalps8MvxlmPDKBfJOct89fX0Bv7wE1HGKAQ4
eJHX3oNFVWufoNZKuZuSaUdPVwJuwQ04yZRgQexhelf2FrsQFsUoy3tRUkmXVUTaiebBZdvEHD8j
563K+/f/zd6ZNMdtZFv4v/S6wcCYABb9FjWyBpaKFCdxgyApCvM849e/L4u0LMlD262Iflw8eGOH
rJIqmYnMvPec78QjIoUgX8RG+jyBQWiMaJs0Ug813aptd92H/RUUiXtfj7JlbUSPGPgem6Jf+9yH
5vQyj5XIX3zbXse6dxzt7hl59TwqsmSXwa+fmRrJC6XVoXjgQDMfsvE2NsK1bSX3JpdMgKr36Mg/
xVn6YtVpM9Pcce3X4ZPqfRHCI7q3jF2a390KQX50nkNsgaHOj9RkNBe4jPBapuZLSn9vhk1l25nk
ijsUUlyzuFZb4AeUNTZglNHkpfl9VEGtV5Rd4SrXotOOmU/7QwW3C4XC3is4q9kaDEjgFAiR9UCy
sdMeI6FyV/XtVYYgBcxY+zxNHL5JO7vP5XkcX3E1MybzXMFjT+eF25RvkyDIVRMYfzqtYjJw0fuU
hwCxVBOhJdLAbPfY1iojkT5k7B50zjxBpKkZxsc4HnZaaXZb1uGWotxcpNAejGw8dm5N3Tgkc7GF
BFml5irzVg7E7IpzKJarNYkv120ZYXrnixVjeCiaaKEl06WcxpZrX6kdARud3DCsQI5sUGPkVQ9s
VpusHc9HcGBo3Uralipmh1676pAAYVyLj7bTUGswNWisinohRTtAcfZAzbecsB8KQW0BZ0kCjA05
hFuXSMizcWNraAMSLpZzTcOmahT2Q1gla30cVF4fbMVFwtvIS8x8Hbn+l16LHnNfuR5T5BxtvaLB
9THU+VBn2Dn4MsnoSrgHQqAc6v7WC5BiE5BGPcs59FqhLeELY56MjVUd3if1+DFEFTljHz2UmLXn
ipHo80xVXvyJsr8K3l53pBLDpXyv6j08h30EhnsuavPctBNefHBrcx+/pOV/nBqQTlpDWamU8kUc
3+ekdm6VCnkA854pZFaF5G8To1KCKum5idEHPbTKdKQOviboKd/TvGSsoZ4PICTjZgsW8JECz2Eq
q3uHJmij7yLNWedped7FCubVbuFQhz0t61C7mtryagi5M05J9jGihlmE3qUgqUL1bXR61qaLMO63
TGNXV+/pyZ5rdnIfFSgtCq+5tgIVn0ibf67gJZIyk33pAoHOYgqPvqKYq8HJXoRbfdEDZ120Kuzq
sOWe3C4gHd1jcKMQMbW7zgteCIB/jM0NrDuN151zL3M66F1X50SdHpXOPISmWuxwX6YcTOqFq03r
qsy47kQZOEOcVy7mMwgeMhLtzq/TvZYqHwYXzK6Fe6VJZrZug4YJ6yONF3jRzFdHg17UhCmbGx1u
HIwxdRSsg+1zgAB6M1gkc4jhFpfKiCyk0laDi+rM7jlfmY7Hf03XTtyuXLu5ikNxKNXhGX8lwh3v
k2LuYhVaTrpF5KB+KFNVeyZtgphQrN4zR9mmWvDFzNVjB9M9yJxDE90BmEfdRzUrbRCk6FZ141dE
jVN7VG9iN6FyDDx43otIXfTkreFg8bJzsJyAGaSGrZVqtkTq2hSpcAPORjlcmcCF9pN9yZmPYqLU
xPl4bnELmM1Gk4q5gJpYFYXmEu5ZuQI7VcxNqrRL7rLeWogy3Mchb82UmO2lkJo8OAb2iqy38Bwv
IIeQiG78JFV8ltTzaVLZl0iNHxD84hOsTXJ8RPbcu1zD8e5HFzpNveMYZ+GqIgWYD0b7m5rpB08n
Nz2zxPRU2h5CM8gce5E47PhOW66jBi2w4tfwfmpuicbJRy/iEQVhWhxP7XD+BIq7LmFMSajpIEjo
Qasm9TCVlXpRY9oCKyV6afPB1qQrsUZDE9Fv52TYjij6rYEYKHMvc49BZb40MYCjXuXwinl12vOD
24/dxGaRn8TIHsydSFIB1KKYYBsptz1yARqBLcG0Gq09o4eFZSBfsf38vFP06FNmVOXcISN3rsGK
/0A4JflNqersrGokL5Ybuy15BJokEwySUQBKAhMrzfs0AhUYefYNPmb1En80FmOgnoiLxuaqz4wY
qAjlE1fSDsTESHVDr20iiUFgEy1Zbcmj7hvWukeXsx0DEqHC2tD3KRjvvZAchRBd3NLH4Pix9yNz
Tfqs9jiSaQuKOEAKJCEMjcQxdL4U7E5kji/V1oHUIJkNROeB1ndIwWvDG1x6waKNpnGlpoBcIgl5
IJHQW9QVOvY0sZhCDeuotzVCKj2323IqX3kNXp9Gsn6C9HyKjUPa4oPM1bRhmeucunp9+kSWHabi
lAoOrK2IA93UbaJaQidatpKnyaVh1tWJJTXh2tKeyEghCwlCmWc9uAHKu7Qt2zkOh52pR9bFZPL9
BnxbnHOda0cSLjBLBbNUmFeBHe4bbxx2hYRhtBKLYQ22QRuQZmdRp+4lSb8EjGtecGCRXCmFxR/b
2wJsCx1Po3ayZVUF9haeybTPCnaSSJVbck7ZyEboNyMCdcdNu5npoGfWTSS/P/CvmSKCGmqHCWki
RKlhZbZAzNdPK1Pxb2I/eq5IFaWxqN1xzNkMivswjMNHP6rHterD8PJ7Ld/F1JsXgrvkjj4Kbm29
dijDjgwIQO5wQ+I0SWFmDUQoIvsLdbFuXHKLXJnovrceUkG6ukJdSafWUCneEnsjQVdiuMMKeWGC
JV9ofVGsOnWKVp5twcEndGUDBPgjnZdsHdVTvlJ74+afv4INPUneq+A9bLM+/YKp896WdL5Ccvq0
FgGsm/XTfaP647qUUL8o0F/iYbyB/GwjTvQ/R5kN+K/sqF+1WTc3i95Yql2Xnqf0rhZpNaXnvkCf
ggttnInAry+jE1mw4Vp9jiUDqzt9wj0eEe4lwF5maVFZ89Cq9SWEcTJwEqql3HtQIBFlf0XtQ5+Z
Vtd+KiTbMBXZdNEP7gYwxLykO3DfeRyP9bpCaHtCI7ZCfeSKShXTcThE9MT/sDjmSpLjp5Y8RTHS
PMNicNEGvjlXhNJdDA3tUN9Glx1OuKMpazzAS/dWdRtua6cUs8Hgmhvao3ssLdbg1JItRCQZ9hVg
OQGqxaUhAZCOGnGUIqectj14SC+ZPte9jWW7jFHn43ZNgIbTc+OQz5dEgUwx+TwjX2+WhlG6+uev
xptWWmJEihSglDYZAifYp7wWabvykksrDf3AfqHS6lvVkWItexVXEPClkBILNpxAGnL8FI25PRK/
5ua1uejN4bGjU7/s8VavImnqETT1D/8vy3k5UWX/LQ+WmIZvylaSOPtGkpVmu3/9Yzk01Uv6+Lmt
frCmnX7fVzUOoCDNRF2g6wZ1PEko/QqBxTNOQYoHIYxmy4LiL4U99cyEC64iWzbpLqoy5uCtsGfY
Z65UzoDmt2UkNWT+X5i4b4U1jH6UVf2X/HcKbeIHSLZF541PUjGoGUDeYCrx9/vWGkbmlFFpLgTw
FGP2PW/ZekZiV3QxtBEYg7wsjnmQ0yeqKVte1djVoC7cldaA94OgVTBwiQ/ZBRoXN7km+zjVxP5a
btfs/KEJ1lzWjU0IyexQ1C0GWRBzR/DKx4C7V5un2WXfqxgeOsvKyWcEFMVZioBeNWg/EGv85Htj
IKNO26PIDW2hq4G56PBO7byoBoQEIXFHU9XfOuharlo9aPduGwCKV/i4IruJSsLJ1JIjmg2GeFm6
Pd0Psj0XFurrrXBINB2ojjQlH9YWyGriDmynGmWPxGZVe9jww9Ykds0iy23vQNPbA3HAAmzHopxV
LTvtLG0rDDcjm13SKYhIT865VB2tizGnFpTjkD+vSixBoYing5pgfoBe1y9KdtlLxXIJiO/lDY3D
5Fy3CeskUW7YJ8Y01z31S4MVHs8XSRxPo1pNX3y7FeTi6uIz6TqgEH1esoHZV/gAiCUmdAPwR+VF
1zV77MLijz33Y5OW96STTKljmSp1f6vpUCHDiIxOPwGBT4GGXp0bfk5H545qszfH3LMHkUQsX6D0
6IobAJ5hbO08SClrzRj3rQvnw5T1q8ooaXagBDFtpd01lhZeCk9vFsCqDE4EdNHsgaTZglswOFmn
vfBJNl2BTO4IgOWAReEo56KsZk92Pg1bahWExilVfFVQgpqjcYm2cURzpglN8AB2Rx0TsgNDMgnQ
4BGksyPMoitTI2J2VndF85DjOOMmUNVHFebLBQGb3S3vV5XTEbSA3oaLqUYOVuJ8ygiN8wmnxuem
dO7SjQIPqIFLrgCMxXTuj1CMkHSGw27gGrUIYcdQBLKPI7Vk1FExpYc4eU4pK1PG4jqlD3p9o8Ne
4tSJcailGspBz2oLyg9GduhcKQdNYu12qLgV6broUQvLWmkHyqvANDkvBktbt2YlLll4xVIAUHsx
DDNYuF0QPxhsllxIfciibZ/tglxH9NDo/KDDFjqrUq8ab+r3ZLQVlNqCxPjEyc2+C3P4ifMSavHF
6OJvcpy4uEgKWrU1QrCcRu5SgUh1G6vVvZ8F8Y68ShuPRuGv0eJMzSoEwYGnzTO7ja5o4T4cnWxV
NXjDPNvsQclC2JJHM/W8bFWZhYXKK4O16ESmQPTN223eDw01JIh+x9YKlRWh5OHD1KA9Iu/KuAOw
l88H/sWxmLKaobgL8kChKxU+kWMog1d4aw6EeeOUcSy7VJbC5aIpVVu3jdJ0OGTIIIO36sfPKIef
rIKcNspwkDWQlkQt5UTFqg6JNqJrLbt+1TpWP4+sKly11sjRtejvh4grVdVVt2ES8b7QIVJ4JWrJ
uUqO2KZXHxrQWQ90iO3NBOpngtPh+ZtKq/JDCRn6SY0s5zpuO6edKaAnyD3CBUeusw+A1UqWQCtg
thjTyh9jZFf4STalUQftTKRdckdQ0al3OcKfFfEsyDv9sW2m0phHVT980FFekAAVGh/6GOUDcM9p
xe/DvWTUlK6yCsZVWkYNHkOs8RD9iUKXbvk66qL7MhwRA0K8+9DhTXnI6FJ+GKXVvlS79GKS9nu3
RwWs4G85bwal/FQH4JkcOAM3uFXwF0oTf09r8g4Sl/88nHz+lbT8m9L8nxd1vRp9gADUaOIHYkvD
eSxxAbYEBwCLgCHQF1H0UGN9eWolYkD3qN2clHahAJgvTiyC2sD2WodtTcD1yJuKV98NqAJa/HGd
bMx21C+BrAU0Mjg94zHdcjQHlXtiIDgnHIIEI5QSkYADL7uwJDbBOBEUBlgK+BAjAjNdaEFNPVHD
46ajWNGFxQyAmg2OITyRGcRAWQno9a6W1AaJb/D8oj8Ix+I+D9qhT9rbTsIenFfug0RAxK2kQbCR
W7cZesJZA8bqPApM4pk71wKoptpXwaBj9Y4lKVmCJrLKSchxhEPIedDh/oPhpBNOujCN/rMPAPMg
oJXMsf69CKHpF2EjtGM5hgLfMaS/1VSBvMBW68wBSeKkARIyrJtY6W5cickozVhZNKytfU+KGUxv
w9wbFWAN3wGxMUrYRouYFJ4dcKgwFM2DKqEcUe+6W1+COqBdoSVqJL6D8te4HCTSQ/fDfGVU5OxR
fmFXMCynuA2ggM1BFgWXnZ71n05ZgZCvZWaO6oCRagkMbJXhU+GOx4RDxpa2QoTYC7uNUunDVuUm
HXMlnRCVOtVTMKjma3xgip+dWqLp0v5gVSFKAFtLpPgpQrCM/Ik0yjhmX/4aI+hXBOuZskuGql67
wfEMztp1p2DRKF8DBaNSUa5bpClKNuKl5ntTuivtCsxzhSTia7ygpjgR2qqofDIIUa1QZnnXGMLh
qwB9Wv82aJDAhxAtUlja2vwUNGhDM6Nyw+kQAyGRderMs219btdFQ4+OgklXyDuRkMmDeJUfO3C1
pDb7/d+JH5zCKL+ByMWUqiFanv9hEGHITrfsvcLYoa5Yt1j7br2xgGr3NZGQcFPw71OFaa2L8uqg
I3xBDTV+jSX0s+TS/xpLqIkg+1CAbYMPNTUTISJv2YQoukjzoExwrslswtKKcTFN4TrQFf1esGG1
86EGa64Xoj2+hhTCvxafGwNdTHMKKlQHjgNz28OZ+GtaYWQbjr8mIL2osalnL38UWWgbdbxupmYJ
l4sFVErb1w+phYkalRneWxP9FmphBaCJYt97YbY3JH6777CohhXuzcIuKaVq8QcviW9OQYZCKdo5
7d96UTgiBVOIGPj7NEMEPeXSiF2kuVFyRBiVzl2dFoUKFog54EfGorac6YVkPP+Igbfc8If3lHnz
6pMoYejOAjXm4oqmKWp1/0ZRnPCQ4zcCYMuLXok6256XZuXexW0klrFtafmcLVi5yswu39VkI3Nq
0bvHyPaGL5WSElSp++kiij1rNSWhs7DHhFYGn4iJpY+m5YCIcUEImAfc0covupwONYE2/sbU1e4L
NpWlXrC/en3zVCo6h5NWworSMaFcgFd5po1BgRkqFp9TndoHQmeBpEk8652tvnIg/mvclJ/wf7z9
HX83eeTrnUv+6ikH45okqh+yS/7S//TL5e33P+ivRZn8njrl9Jc6Ban82Wck8Eib9jO3W9M4U01D
QxRBMJN8uJ1C9EdIdPplRT8Tms3Nlf7E60O6CR6Wbwbpj4bhz7/hb2Nefvs5f/YNXu/2m8//+gfn
bo3b7HfGmr89CnxN4agoaazXb4n45ttR0M6EKUgjhOzy9ry/UTAE8pqfGgXDOSPcRhVSjnN6fpgL
GtUKZEgasJzX57Vu8o7mgkv+DkkiPzkOpn5Gkg1eKJlz9e000M+o31DFQb31TgcA9pEsPf3UNODr
wxBCU2az1r/9+pSkEKgZOsfn1weM0vt6F2ikwP3st9f4Ibs6gXlvs/yHQVDPMNARMURg5tvzOt7v
aBVorGJhyhLgT80Dwz2zHDJkTZyA380Dtgwu80gEmQ2vz3ubB6ZmS/TWT319k2Avl38Mcardghz7
bhSYJrpDSdWVSDH5vLuX4ds04B32c+MAc41RMFR2wNNDkfrbt4J5phooKrHhvU2Gd/dWQBlr2+Jn
5wPLQWhU4QTjenq+nw/6mWvhePl1Tbwuv3f1Wvhtp+PvHpQYBJp5hi40uhby+X4QFHGmkUOEQvFt
zcjs6fe1RRimrb+eYV+7J18P4H/j0MwoUM/UbU7Nb3P++yWhnlnyTI0k++2X3Vfn9zuaDL/jRv+7
c4Grg+7qBqzFtxXxw05pnXFYoIf1daN8l29IhwDln31D0sZzTcvk8PX68/7h2GickYqqCcHZ+vV5
nX/vaDa8bhXG6yz9z9eF3DLx1bD8354f3g7mmTQqQOD8ZSDe39EJgetPzgY6t6YwKKOIt1sU0+v7
/ZJfYnwQnr0+/1fL4hmhB9jtqxfKud9FnNKG+Gtj8MMnfFNVUOULkjfgL2eC36wIizckFe3/YAz+
wrJ5Y+A+Jy+P1f/8LwAAAP//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/>
    <cx:plotArea>
      <cx:plotAreaRegion>
        <cx:series layoutId="regionMap" uniqueId="{62D50679-7143-FE48-A2C4-86A17506ED49}">
          <cx:tx>
            <cx:txData>
              <cx:f>_xlchart.v5.10</cx:f>
              <cx:v>Opport25</cx:v>
            </cx:txData>
          </cx:tx>
          <cx:dataLabels pos="ctr">
            <cx:visibility seriesName="0" categoryName="0" value="1"/>
          </cx:dataLabels>
          <cx:dataId val="0"/>
          <cx:layoutPr>
            <cx:geography viewedRegionType="dataOnly" cultureLanguage="es-ES" cultureRegion="ES" attribution="Con tecnología de Bing">
              <cx:geoCache provider="{E9337A44-BEBE-4D9F-B70C-5C5E7DAFC167}">
                <cx:binary>7HzZct24suWvOOq5qcJEDCdu3YgDck/akqzB8wtjW5JJEJxBcPqn+9DRn3B+rFO27JJl2ccVXdFx
HXF3VcmlzSmBBDLXWpn0f1xP/7gubg/ds6ksKveP6+mP37K+b/7x++/uOrstD+6oNNdd7eoP/dF1
Xf5ef/hgrm9/v+kOo6nS3wnC7Pfr7ND1t9Nv//kfcLf0tj6prw+9qasLf9vNl7fOF737wbEnDz07
3JSmio3rO3Pd4z9+Ozk8uzR1fvjt2W3Vm35+MTe3f/z21Vm/Pfv98b2+ee6zAkzr/Q1cy8gREUxS
yuVvz4q6Su+/D8hRiAWiSIXo0wd/fujZoYQLf8aUj4Ycbm66W+dgLB//fHjlV4Y/PHBd+6q/m7YU
ZvCP31auOfzrf8OojaujT4ei+s761dXH4f7+9ZT/5388+gIm4NE3D7zyeLb+3aFvnHJ++Nd/uWev
Du66/jxFf4Nf6BFiFCNCQvXx8417OLgHUUXu3UM+P/uTex4Y9ez3Zyvv7OHGfD7lKfOe9tV3bvPI
cd8565fy4tlhOHTd37uzOJdIYHG/g+jXGwwfccYVYQh/crBSn93zyYNRXfrK3Bxunq3r7lA8u7l9
9hM2Pu3GH93rkS9/dOp/a4d+z7iHkfKrc/5qpERHVCGM+Gd/PdqR9CgMGeUc46cD5pcg9n2Dnnbe
lwu/sv6/e1T8cx3Bwj093HTm5vP6fir8/MWshY6YYiHDmD8ZHemRwBxzjr4THf+icU/75cmbfHc3
PZiFX8qPq6nvAALd+L8zNlJ1hBWmhGP2BVw8BB/8CIdIqjv88ekDsfPTtvkUG3/SqKf99tXFj/z1
1bFfyk/RwfWmKA7P5mcnt//6P9XnCfsbNhs+EiEm4I37DyDBh85iR0JKjtAXKMI+P/s+kf0Fy572
2Ldje+S2b0/4tXz3JdW/OhS31bU5VH8jEIHNBomLCMCS90jja/+hI8hbkNfUfSxVSjxy4BPmAaj8
FP/6Qw/Y92es/o5v/8rNH7v9r1z7S62IzaEwsAw+++Fv2MQENjEXQgogCg93rzhSSClKML1fHPzz
Qz/t3ntLwN93/7f80KSnPfztHR658dsTfilfRYf+UPiP/PQhtPtqkH8Va0LIVfAP5fcJ8OuQi49C
IkPg5hB1P37g8MP0+FMWPe2sB5d+NYA/fntw5Jdyzz+7Q/p358MQKyIUk59m/9GOQkccODsTSt17
Bz1KiD9h0dPO+XLhI9d8+f6XcoyGrHEAaejz2v1/D3KQ6TimlPEHFOxBrCNHKuSS3cW7L4nw4bbZ
ueLgnv2MWU+75/H1j7z0+PAv5azoUPWH993fmpIokABBKQIZ5OMHYMcDbwXsCFEiCSKfCfejzPRP
39dVXf7rvw532shPGfi03757o0cO/O55v5Qn/+l6D378G7cdo0dEEYqkvN93jwJieAQAgyoAofef
R+nqvDOAeZvDTX3nyJ+x72k/fu8+j9z4vdN+KS9+YTygw58eKqg+/K1hNJRIMYZgxz3ckaBJIyYY
/jOCfn7o10wv+Cmjnnbi54E9vMcjBz51yi/lvFPf/a3gnkpwDEGcCvYpkj6SJvERk6GCOHoPWNCj
DXhXZwGIdLf7/r1pT7vtiVs88toTZ/xSTvtndQMw/xrSzedF/zcAFnHEOMWh4PeOgxrAww3HjuAQ
BE3yANA8RCw/Z9PTHnt47SNXPTz0/9dH3y/TfSlixkC3Vh+rnw8qdT8++nECoCb76NIfFVE/zfLu
5o/fFCj6kL8eMLi723zFtx7XQr+67Bbkrz9+C6DcI+5EFqB1nAvOKcTW8fbjIcBBNLzTZsDNFBzO
4VBVd332sTzLmeQCikQ8pJQgsMPV/uMhfAQXMEBQDH4g0Eq/1J7P62JO6+rLpNz//qzy5Xltqt7B
jTncqfl03p25IecqhHKjAMMIEUTc6QTN9eESCtxwOv5fpHIG1SzLteW5WtulbjfcYL/Ky0adlLOp
9ejqzULIuO6MHPepCoaz0YxshTJxohy96aVi2551XrdJFTtc8fOwKKVeJmu1CcW6QIGNi7zhW4aa
Ar7nb4bG93qsZvTGTQitWtUsRBtbl+ukrb1e5BK+HqaR6pnTeeXDpl2rrrB6YWF4UnnjT6ehOGll
Lk97MZ8MWZ8eZ3UWvGt9yifdBobqMnXBLnA8jGSeB2c5c3bXq3LYE2tkrZHpeSzGcZNb+rzBBVsZ
HKhKJz47lFPwVhrxuuaL2sy5Xc6mSvk9GsdiR9PgXVg0JuZsynaTIEOULJWL0iVluzas2Krgxq+d
XLjOcFjrrOA0wobX2ipr9JJQc6KaZjz1pb1IhzrTaYhWnfVpDHqdWRHa11HfTidzMNfrmaGtETk5
qRLWaSfkDPOZzResyedoGESvubDvAj7BVzztLlHR23XWSnI8wphOHCmSjcNURmmRL2d4dCZKkk6u
2qyRq6lz8riXafd8WAqxytI8020dyrhuQ6mn1r43eTlouXij8cRCzWTWRF2KjrEd3vfSL7qYcB6N
s+ujMkU0Xnz3oUsTmEaOs6iSZtJNtZi9IfR8CNo8Svi8bMDbSVyocpcFE9ZdP+zruRkjiftAiyB3
eqnU284kL2UrU91PauPLAAxCOdYyJW8bTm+VKsNV3c9NNJHpZSLUZWVtsFPFcjnilEZzJcNNXRVM
C4mXCDIl1X2SixgNKdVDVuDNhJPuOKva95TVdD9kVSyrw+L8y5z3RJN8crvGpnxVzLmM+zrd5bTa
zvDjXYe81XU9nU7LkkeB4lXc5eObIalabV36nLThCzzSl9Yt9VoVfbXJUH3ly7TYlQonWlR9vp7S
vFkzUrVxWeWnjk+vpe2z1dwFyUom9BxnHK2D3sICQWFy3Ity3RvDLqoE8bgtzRhqnoVFhLrA7OZm
rpheiJO6rySP2mEJ9zlRY5x6V+9R06N1Kuy8wf1wNQfqXTEPMLrlddsmjXZdeh0G6UvVjcuaV4JH
1HSTDlKR6iWo3SZwodceD0mUMCQ3QqFeUzftK1QsOqgZ0RZNs66bBq9qOlY7jAevuzrtddkvfeT6
plnVku3nruiiwLZp1GVjFdkWrGYoTS54Z83aG7OcElz6NQEZZsfL8AXHptRJWibahoxHUjQTrGq+
lLo17F2TVV7XRbtvBQs3C6XFdkjkjR+GVPu0aHSXSH5ZuE5Gsl7oZpzyKmp9X63SkWQpmJ6/Cuox
0TmeXtNxkat6hJ1g2VBFQRK+WsZAbbvQvmhShrUaXXmG5jZ5rvLhqpHCr5rWhadT2Po1npDczx6P
0ezVuA+FGjcEZmClaBe8d8NoIwThOMJibFYZMa94OM46TVMc1amkm9nViR6RKXTpsla7KRyinhC8
QqQtToYxVWsWmPY0GZzfTJLdzniYdZKMZE3KvHpTu+RV7sPwqmkoRCI82utWpTcLmpM4wUMRi3mk
O0Or83aumrOQJX0E4cDvCZ2DUzm4THM/+nVZlufYLEU8VWDQMgSJLopin2d3ptCZxsU45xuW1vW6
G2ixkSF7a0lOXvRLSC8hlqF1WJbBeqytWhchoZetHdxmrMNp249DoN1Iq3gKUp5FqIf7LTQxuynI
l4uUlfStQz3Mjxrzt+PS1ZGt+KbMC6RZZptXqFE0Sm07RER1p45Rv0nS2mokZht5P6cQv6SMy7RN
Vi01rQ5IjrYQu+Z1Hi5jNFHvSz2jcMeLEsfjWGLdt9VwLgLZ6NDZMGpZ9z5ni811Rjp/1Ylq0ITy
YZc7r7bc+7e1cupc5V0Q2YyD44rGOi2arr4QRt0UoQt1b8b+vOtY8EKiIj9jlqGI9Dxfz1N2mvZD
tpFqGi48mfBm6ZKrLpebOjBuY9sm1xMXRVTy0mqfBzJO+6KOq0HERZZOKwG7a8wghJMei61vi7zQ
QQI/HE7G2M0Ba3TSVXw7dgXZVW7MXhc2wbHJeBE14ZjqWWSlzkUTviqk7CPrDdrTjnkIp5LqaWbv
kEyiIA3zlTK+fWs7Kc5YJxIdKJVuzGi7iFbgA2hj8+uWFbBdPaxFP+VdNDhYb7ICe7jsZ734rNbM
zVgj3BeDhrQA5grXb62YIENm1XLBwsxoUuEr63N8yRh1cZkUfiXcQuOK2yqGnpl1x8dhFU52OsMT
bBw8Le2ucDPZPmwW+wojXdfN3Jk0u2/R+/Lrf76oS/j3Y/fYn1/edfj9+dvp59bAH561ua3vOLJ7
fNId4P1yrz/71O4g5pemtUew9VMz4Xcw7Q8P/hzgJbCGwx/B3SeY3J9w+f7qe9QLWrgErIvu+mYQ
kFAJUvg96iVHlH2sSFLQ+EBSYABI71Ev8FkRSqkUl1Cv+ghtP6NeKo6oIAzUdS4AM0NV+q+g3o9d
jl+hXkExdDjKkFOpCKcMmPFD1Dukth/aFr9HxD/vCtdsUc+cxrO4poYPpzwpYH9X/MSN7Ia03uum
TCTkqfqcYxvA1qxriNJjvYHU1awcIN2Y9OX5LMiedVWvW8XyY9u0L/AgpQYC4DWq63C1pK0/dpWS
u7rupx2R7px37mxpy/oi8d2aGkhxixteDZ2Kw2wo14Cdm7hSSq7rZJmipvaBXlxjtDB+PE09m7dF
kxNdK1HpnraxG5W6GpV4mTXsmGSiiduqozFK09fJ0pz3BT6RLJAngrVsFQAUooPPd1Zm403DuI14
F+JIDgHX0uTrxeDLMEjGSAVpE1PeV7rz6rZ07W1FPdYYmx4ymll2GKUnme9xnFVd94JNzQvTtLUu
PLORDEyjbfWBGnHBMMr05Kc1uOCK2MRr4RAMZ8jfOSvEsUrRsjVdH0SKwTAZGrEuPUbHgqtqM02m
icseDqBevPGAcws99a3QaGpq7XK8QLBOw2vaLl6THr6bBn49Eeb1qAZ5YpO8WXUEpm5ue7IBCIc1
Ky15L2G0u5b4ZTeqqVvXdbcJe4T1knZnE0u1LCZ/7MfmA2bgcVham0LYYsWKlO0nIq5HR05oN9lt
HRDAhsql/qLK5BtfzLtZ1udBningA/ik6fJlV2b0jUtxflxMbRAh3LwgJIXn9+x8gKhoF2l03dFi
L1pYkgrWXpDZWuewcvQAoGKX5Dnfc5FNe5tWKDYLtscMqJlbI1a4KWbt0l6jFIO7WuaDNQ674MBm
3OnRl9FsZ/9+RA160yq7rOqylZcjFeEelQE+zFXbv+B9bW4RxbA0loSctNblEXgXlgZGzUmdFmjb
pksG894u67F45VmZZBFz7fKmpD3fkAS8hWy5bExVdFMEaaBbSZX3u1bNsxZT8qqTtnS6H0JcRnbO
+5Ubq+pgwwaNMWqJyjU0ApCzNAAIRpzLt0nZhvE0kHbbcPu+pGF55kJOWNQW5QT0KsHY6bkE4Dgm
GMCdydv0lIw5ei6z1KxKOTNYUANXWWQBF65N0IZ67Ob8YILObQoyuVZPgBW1Ry17Y0PfvRHhjNa0
CS6HJpkukqLwz1XHImCA07ldennqg4a8ZojlH1KARMe4TyxQnjpZiSQ3Kz5P6OVgPT3JXEbiCZdi
laBctpu5Tltd24Uej7ymF+Wkei3bkpyWY8uPWamWD1aStauGY9j055knS9T3fRDPgMiOrRhQlPTy
ReMCBQl9GmIrsucjXbo4aUWoWxo0ZziFjJuFCdFKzJdV2RereppXAzQ7RksPYJ4s5cVSV1VEi2ne
tY41F4XoyvNF5mEUhPKt9NOyrkSbnE2ejy+nZOZriSdywSuY/o2jd6h0oemrtMP4gDwsXj5ie8FD
zxbt+4le+6rMdJKrkUcAOdEqrdL5NcLU7GcXDm8Sw6jS2HIETLYmr1MECD2wU7JXU1Nuxz5Xx/Cw
9jkANmATTeFCiAx0OM/5ULydFpWvWGdGAK+N6SK1cHvRBW2zEsbRE4qITeMAY/ZyRAM5szivNIaU
FZOqfitzsgDI6/0x6BhXuFGN5kBoLsesARWkIfOqkeR1U2U3jWiBQVdwep4Uwy5hPj+fJiA8bV2/
9TzY5GKcX4wIfGbmcF/WYv4wOZZGYza6qKymqtF53o/r0Np0j4e83qoqgaWAcR2bBkDYnEwzsGSB
Y4UAomFMuttOLB+WIrXxkmc2loUEblW106oiExDDHPVxYhFxKx8Ad9tWpiAQp3hYjlEg8GvY8uGq
owtbLdiYVT1zdlnKEG8FUNV+gwY00PgBIHhCTgLF6lFavWtQkBTiAihajAGeeJhWuaOLKJA4pDR8
AxWFNzMh1yBuvcnMgPX/wLTvv9zxJ9ACSRjmmIFi/OWFj2+EySdbVJ+6xT1cgwJPCAIkKJGIMoUJ
Bjh0D9fupOi7Qq0UErrWOYFi7WeNEh9hUDRB2EQgYzN8h6HuNUooyEsJ/FYxJFQoFcC/z7j1K/wN
2uwTi+ru6V+tKngwCKVgRwidL2GIYOwPV5XpFJ8zzKyWxKdvlZfVvjSJWvHGA9emPd6QmbutN9Pg
tGv5EIUM9Cg69tOnRffpPZInTAkFlFQe2QLdx9AyF8LY7rqn7uTUB3KpT7MqS3JqdElSMUd5QMy+
mCB7zlm+N6m94aSaPtSUVxFvByujZmwyEBAk1giBIgjBVUbODoHTU2L7mAwo3TVtqnTa5kCoJhD9
dKfCUJetymIzZaCGFoEuxsRplS27tkhVFEzp2w4UvCidAfGhvKi0qd2+ZuOgG3a5tNm6yHogv64+
kKZsolaG50GBfURG2axF5UGDYZlaq6ayEZ7KbZjZNyqZzysMwTpv/JltZhJhL52uWwg0Myu7KAmb
W2mKC7TM24DlVZyX7LhqGk1l3+xQVlYxFbhYYe7ndYfD6UVQTc/xPLVxU0JmCJag0ikDBZGEH4K0
OrUDp5Ass3ZvEDmuhvpcNnm+C1K4SZ5KfLEkrr6Tld96hYo4F7RfKdBgIc9zTeuGxHxWRdShAr0Z
QVuxGjRqpytJ6lLjauqjJpvKfYiS7tzU5ZUPzCZxAYsnUm65Ta4n2cIkzG5aoZmuUTuIFSptpccR
0JhEhOs0d25NJtAk285zSJ+1W7MuUVHduu7EJD6MSFq16yTr349Ae3U719W6nufmCoHyG3Wc7VsQ
dzXJkoiXqDk1Qx3GPu/yLVIlitu6KGHV2hcp6tx6biF+6zDzRdx2BKBlWWQnqc1MxEODN2nYP8+T
uVwNQxnbvLkxA0Kxn8wtSwFi+yHxKzmA2ZQ0vXZ1bU9C5btj0mT9KnOLi7K2CjUpl+yyC1tQz5ds
XePFr/oq6fe0DKsV6sN+BYBpeDmWNWAwmb6e5VBH1NlCmza/JEFI9kWdv3VpFxx3Ng/0bIHlJ3dJ
EnZntyLKG1iWJZiQwMBG9GEGSLufgULMCuQVmw1v0iFxx3VZb9p+yp8rW1a6yadblFWAmoIwjdAM
1yfIX6W5mSNL2nbrSXrTcihWFKQE6QsVVWSYGGNhQVNtQ9RuRgtJd4EeuzgoZPac5ag8h2w1gHrE
6DFBIQLsbTnIYLO6QgISus0UPU6bXJ2RIn3FXfGaD1xoopbNNOMPiyTvQKnK93xk9nhq82mTtGht
bDeuQj90l64r1TpI7QsTlgZoAp83qejGrbM+Aw259MBKAE4AELhAZmArWw3t1thQXXGf841XsHjo
xGqQ9f1aMtHCuGypO5nRNUPurOSh0DMTSLcZxAoQnD/Mo3OrYEb7JW/xbumGMW6carZBOvaxYYvc
2qYZtiwnxZbMXbfnrE6f57mBoGMlvA+1lFE31MesElnMJqpiUlKAznUTtjCNcFprCOirJAmgotGL
eAauGQ1VWkZ5YrYWo0UbnC+nLQx3M8+pWddF2u+IFa/R7H3cjjwT0UzK97Yqb8bG55uWMrdNAmQv
RhBogdaOXGPZuedCNvXKLaKMoPJSrjlqhgyoJzt2FI0rv0zVrWFFl2gCVZYNUX144VTiN+ECLKuF
4gOUq8ge182ybRVdjrssBJ1Shk0kAOuuIVbv51Ik8Tz3V1AMGWHSloMA5XszdMEriouhjBoLW6aZ
OnCAK1As5VyspnIyMaD3TodjEzz3JZWxsQRqI3YZXzpVuvOxMGjNEnnJWTKfZrTJQRDMzMqwoTxN
J4BImrH0ZjJsM3s2RJ5BCSsdmIpGn1UamEmyAoomNxnO22ObCRoVgc/joWGRCuclzpwtQWRd0iRu
IAW+6DigU+qc3JdAXaKxKHPNWRNEKVQQIArPwb7uRNboaiGhriZc66XsZWSHlO/GsXuFCBs2QgZY
Q2Glg5BmOcjTNIwSqCSdggoBI+ih4tMb4GgwF1BRCOyLOQfSQGaTxd6fTXW4rkWzr5amiVzlsOYm
j2lTT7DHpDwzcye2U4ddpExvLxrA5ms8DruxgAeWons/9oOLesRl3LZ5uYbtN21H0OZjlmZ2PQfd
+14VXuMxRNpBZI/HcGIvZA+YfiwBTTM82AgEFqShm+W0Nc6fpB78x8e75dNUxbqcc3TKLeUvR5X6
t5bBOCAvmNiOJUx2kvD1BAr/DnWgUhLWhXouZAfLfwYSlbylI2bxMjW40SahyQb1vgUNVnpdZjOe
4QrjLjyCUJtwmFzeUYAhPLxd5PhyJs2xScW7CrJm1Ms5O4V+XrnKkkpG0+jy1ZTLA5JtsA6hP0BT
oMYnKUvzN6nK+dtuGLZFMWYQByBUU1AatOiLfmf6UsZNQkTU8tMqEDnwA9D/RU+jelZIgAQy0jfw
ziHRiQzLUwapNLYNvkga+iKA4kKEMsy1G1CxK5bsucJApFvepq8Bx7WbYEAfxjJP14WEuqkrQLfv
aZOucAmsmHjaPw9qO61BSr+YgyGIunDOTxtiQLlFM6T1nNTvCovtS6B/wy60ZNgp04Gky0EoLgb3
vkiHq9R0UEE1OewnPJiTZeEJ7HNqL7LF7qB1jb/NK0hzLc7mFVzTHHPePicAS2ERtFNkMEpe8aJw
UWHh1rjBySYDNe0EZfaVMyxYE9IE66kXbptb325lYjqNYMdfLNKxVZ4Eeazc1D8PkxpEa2ST5z4s
2fN04EzXVFwKS+ptNqkp6mmVnWU4WyJchu8Hs7zuffohmEQBSgeASiVgk5IBCHtWFXzd46XbdkWz
483AXhaZsptytPtCAvxrISlEbpZnUM2vYK/25zkp10bwULtFvlsGMcP8zdk5YqDqA0WEWwZjjDtj
N6MnV0sNKdjO5ZZBoTWC4zVUnOQrS9jLmSoYUb1AYjCAHysiz2UOZPEuPQ1qMhEA2fJKzpDdJgnu
XtwBy2mfMhHoLICIKBM3noCAN8HQ8fH/0LOfomfAiUDs/j43+/athwfE7NPF96yMHwkKCrmSUJ1n
0JlB/xTR4dUeePEK/iOgY0N4VnDoMy2DlyAldI0I6Py6u4YCg/mzdUTC31nApCQEeovYX6Nl8Iiv
mRB0u0NnivzYFkiovGNKD5iQTEW2VN006QnTOhrKrtlMXWP2DybnKcb1+Ckc2GV410MqJBR+wjvF
4cFTyoX2RduYUc+5sG+hsg1S0kjZ63ke2/jHj8Lo22cB1wXOKuClNnjN9BHPHHofJn1RjhqwYQux
MM+3TOYoaoZqGzQ0iEWVThEU+y6aAQ6B3v1jA76ZUY7g+fDSHYU6MBQ57ux7MFa+cDE6D89HfJav
xFCTNW2Lev3jp9wtgK8dB4+Bd9CxpAJBw2f4qOPHcYOUZ9moTcWqqLYwpgYBhjHztcP9SY7sAvmE
nPnMrhCH4ntF7Z4tyeWcipOelK/7ZIrnsHnnx2zraQvIcJG9nopTXlZSC9HtofcCenUARK6KqdmW
bBijJlE64Pws6bqXho6Hyc5QVyZ4W8Ibv5rIItM45K/yFvo1zHL177k7+abTiSMJUB+SoBBhSPgj
93o0QmU3FFCCrKFMrFS4w10TBU2XXYVNR/TQZEKPQFqiCbMzoeQVNBcYnS98w0T/pskBgtM0fRmK
+r2CyqYnJbT+JOwk5Umt07m+KhAwOZzsfuywJ/wlEYPXZqGNDNq9Hndo5TVrsUMc7M67dy0ONp3P
tnWSxdM4bkeOz/rBXP/4keROqPuqKwzmCktoHb2Tz+HNikdrhLXNyJNqGvSStRakCHY9IHaScXGC
m+HCeKiIYWnicgLKVQZ9Drybn0Ob1hsLXRj5NG4srJuuXIZoUoDbnJlBFAAhtg1XZhhfdQJSLpnb
uFbTSd9l/8Z8fGfeN+YrEkJfHQuhyvdIh5Rt6yEGeuhcKmgVqT7AUdsKrsfJr6ywEUsBLg9SXdpZ
PG8NNMAYz0A4n+WHH0/kY0EU3kWXBJROAaoa1C/Duy3/YEsD52l6kjQDyMbknDh2DsUvyL5UvUcN
0OYfP+yphcJAIIOme0IF1Fe/flhAOmgsuJOA/i93Z9IkOY5k6V/EERIkuFzmwMVWN1/Mt4i4QNwj
PEAA3AGQBH99P8usnsqqkZbqkr6MzCUrU6TCw9wIU6i+9z01I5IJn0fvky/pteflbJtzC/4mCet/
UZ5vn5l/fKNxRsIsDUErximuon/8K206K20FaolH17JJ5CFJ6n0zTHkdDXeYJis1ZHm7tP/irw3w
GP/5b07wO6L7u5m3qGI3h/mv7yxKCRvbFiIH1PP0JWkJbKxl805COHMlDAJN5DMiqiVsk8M4ueQ7
7TL/Xqwtf7dBkj1i9uGoXE5rNOaTvdumxfZ5mOh4H1ibgE/KFthFIFRYwQUdjnMv2WfW9BOYt9lT
ICDC+TCTqDtN0RTfrRrmUcP7JG8wtNg8mob+joEWRA+/tOwks+k9DMQIO3gCSrSYETIUj8cD+mj3
0MJPOg+D8gsKxXDLh5hOx3FUDnQKn+9Num333jqv37OIT/vYke4RQJrEo5bkS28wkItZ9Lth0/RH
OGMWTzvh2tzXwYNpu2CvvMG+bpCIRj/c9S2dH7QhECiYDrM7sH+/YIR6G8ywlLxILCbadc3cV4gF
9HkatOLIkrUu06hdKxAb0b0XmkSWAWayfFOQ96KFhvnW4yXlxs/cdRbZS7fqrwaW3Y80AKyiMSxD
+9BeGRuMNPnsx/SUrdK+ziQ7A3idunzs6mUHVAnyEwH7wqAOvjlohAgpDRZnzGvGfTcNcFFimzxo
NcWFXtybT3U1g5A7h8zi3U1ncHGytsXWBN4Iu1S5ByLn+GTbRL/aBJUJxAI9A5gb3oImWyEBTeI+
6jqvXIjOKsZGvIwBr0DQcTrTbJ5LuXjBQQ/ji1LNO8xIVQI+XX70freAysy24T0aa82A5RkPbxa0
IEw/RD2lHLqnhcV1hdLQvdYLhKecGQfQMoYQlEcDBl9fDHwHsuXZuA7ai2VNkSo/zR3ANMwTsjJ4
pFWLKbcw0pdwAEN3YJbTx8XX9EoWwfdzM6sqi7IeTjprKyCQvFBqmU+mFtkZ0oZf1TEcR8ZT2NPL
OGMenRkIWNODyfXXYNl7NgamAJoJ4nO6MpNzT0en1poFegwXhWs9W00sgg+9pLRQIfRKa6c9/jd9
gcs4/oD1ZyHjDd78QLl4UkbPh963zZ3ym+YYq2TZxc5hmmtp4r81dWJ+tkEviqap12cp8Lo7617T
BPP6uqjxRDrJioa2D0LUZy8iL7iBgjtnsgmeVuTvgGgGe4sWZ6ciAFQeU14ZKV8+9G3UVNwT2TcN
tatk0dDBK2OgAU3/s1deehzjlVTWN72Cm9J3lbXUgY6yr4GidK+g4OVx+9kPozk5Xcf7jLANwsy6
XLNIJGUfpOZJJMxcGJsfw5TqvEn6s6Zr7tf9AO2rTp8Vryl4UchKZGH2l0uh8kD5B2IGWRDurRRl
N/rtKSWooCptFJC15BRGLDh7XtKXmyB7I/zgxzgF6VmIMYjycV783Yr5doMfXTHntTyHMAvvuKX6
NMJx2+kNE2Rfd9nOMYjlIE28vOeL3aeTi38sHLWRa1rVamouWwveEApCUyQ2CPeoBFkp4qW5hF0G
Zo6Y2RUod2YtolWFPwOo1mvGdYk2C8bBkhW1GsejaVx2NwXm0YDderdse9g86x+jFW+h7VFDtgWs
Y0ls90uz4GXp1CHOVnJoF9Y+eSGAGbCDdO+Av+aNZrLAvjawEW1MDkso6R6kQrpjca8qHZkv5zOv
9JvpvMDXzGe7nR117R1r1uNsojZf+Sx/slaHecKH8EGvmYK9SqpYL/ksxw5PyHuH4FsQMleReETH
W0bgVpM23Eo7DUdAlAVfx4e00XntOrzCEGhDb8D4ZRbaPq+8Vp17+yNRNiqXOHyEkY2PRs/f1uHX
YORplSBPlslH7V/rpzXsn+cmvR+Z+5itfVNduOQ4gFCMdFAauM15aMmYZ7LngNVdOaiYF7QbzhmO
CLThV7dA9K6HLMkBv3+bzfDl2d7LWcOSsmbbkps+vuox/CEgmhatlD8Ut+c12+5Tnb11kX8PbwgV
6XnKtpIPvf8nXAS45p5Tf99oWMYNuwBthQu/NS/cLF2u5uinGvWJxs3vZugPgLyPQxic+aLuk2Q3
pv21N4D5HKlIIzqUq1gWkQDlEAafCBi8rZ232+xYRA7cN+ku9XKS6ub1D15OO8dPJFyXPEpa9lzX
JgTeMoxlwtXBZX1drIR2ONrqwyUaPMTwCucITcaNJ4oidfWHND77mwcnK3mmlsVFryk9Aa7Y0ZuS
RzWetEV73OJG3Xd4PxxavsW/hyJZKhe8j2EIZqTp4ypM0meIh08gwEnRoYznY6KyN6qndz07XaRU
tfiNxX1GNEDMyYBPadPvysOrp2J25ar4s7/2QRGk0Mj90Mx7wF/9GeMxZNh4eFpYD21Oh63Yt0L8
vlmDebsCvqymNJz3bb/Me4fI7I5aw+EakGinFK5PE4YHaVCw9Rpd03pbKiE14HrjHrcR6HebhLva
m0w1eB44LCpZvhIfUUjMKrf4BAj3yhfTUIWbhaexqTgfDc/e8XQgweLsZm1uXA+MPx7yuhUvWzqU
Xj2ukOqH8DlecatSnKk9SKPTkvgV6XHfBOGP2kMP40Z1RdG+4j6Hem9QRDSj90viLacxBu48gv/C
ZWBR1gciq3GeU6BN7rGhEC61ARAFzBbmKDvaUdODv/UhFLtozROkUMJEMaBwAS0Dbz1nsY5L2yTz
DqDydYXBl0P4jEt/ioHzeusPSRZ1TKNF/+oSnt11W+twm4vnLKizsxiSQy/D3/HAjyGQ5D2NZlI2
sEmTidfAfvtvOpQD4NmGVInsX/g0vA5e0JU9m2Xh9w1KmEoqGvcHf6FJsSGkItX6EE/rNwUeSsNH
BfTnLD4J5rwM4UmiQzRL3OQ88E6eiZ89MZ3iVBzTZFV5PXvRr0HSdx+wxmxCUa1N71VDz09Tb3A/
k/5BWhlVtp8fl2lRebgM8F1xvQ1O5iJyX8M2NYjQgHuiuimskiDGbjcPQxsIXen3Njp2UAbdQhpm
BaIrdbEk5HMDe+2jpSwi4lUQuU9yC+/nrnkcInRCuDc/tkbuWuIKLb0qlXMADn5EYGc8NJl5t8Z8
S1B7ysQH1DV563u/tvWh6RscIUHPLmk+cFET1KD4TDkO8yBEcAitLPgAsMpwPy1XxruqJwwyMYPd
zckrnC14Jav3ukae28e+QqiiSTHpihpZEPcQjBnCGRvnD+vkx0XD02SHi16AJTf3DuGXYvDMay9B
6iwoYbSd693csx9dG7/VALCPXsKfMAXgTM79B08CV8TozxDGwRG1+ByXA21fkY/ANW6PCkGkBkau
m6sgRegiWPvCzfHvwdZvbO6zvclI+taHTVyNstMlAMQob1xdg+eiU7HVnHwMFL9Ztn4X4Qhjvu+C
vJP1Y7yFXg6faNfe7u14XJ6mTG9Fs4Gu21L61QZAeOpoRHIjQsQJXWQam1++5OFxCTQqwzYHp3ml
0MkzBmWmG6+JD+9wJfJBIzSzB8vxpRttngcS45VwXA1hgkbBYmTJJWpcYOeHzBfBzktriWuxb3ZD
L0GMIy1RLErva+ormBNk3FOx+Xu6wpMQXdcXunG2zCTOOCXTPluBZC8eO0K8NtvRq12PcSb7vWbx
68o3/0i1q/ekniMYViiMm3fdxDbs4DeIvBl86GfNPhu9toh76fIo8EixyujMx/5C1frcwCSUJjr6
M0HEic8wauqohrrkbNEEdb8P7Vs2B9Cdgo+NTn7OYQrmkKMe5Wx3URfDAxNwbsVpkGwETVC/1qN5
XZPgATCGKUD9/VTG58Wo4IdQQFobnh98zpLGGtiG8Z+njdhcWT+8p3gCb/iAyEOWGlEKQqfSILem
Mvur3sb7IV2DMu3dM3T5A5Crz80oh6iKuzL5vOG6HJfopUmib4uIcdeH+uhqi86WIMI0RdFSTCnU
gAWQGJdb8sD7EG/GSswOBbsgwXbN1NCWQxjREhGhB8ajrdA1bh+yNvMBoYP9CoLx1V/XXbp5IH61
eBgi3OfzvItq/ejz+nOiEa4mahBwSv28jRSGphitoI9Pkb0BxXIO69Mi8CcC/41iTWuaaQ+UvqPl
MG64njJaCt9kVZRBE+ra4EGDATmzQJ55vEC1zNjnygkt0d50eeTEOUlQ8LfawmRWFC19G4gcWgwt
kgYS2sj8CtQ1bFom4dbQoKSh2cceUIl1NBhnY8CcG98nPXIboai7Xdz059nfrjbz3iMQrlWsVFuC
iazP1Jt2y4IqJJrgPt42FMM1SMvJ3ISr7GUFkNKxLKmQpjoOq8bxY7PIxSp+dyb53vnf2ACEUG6+
KXg/puBdhC1qwQ5NyiOANz5G7br7CCkubjF0Hu42fllUOAP4QJuOYrGqsvXUsRXz2wY+vHQWlVZP
juzGVu/aTLDT5Jpywoa8fAgBkacI7ZQurPcDEmXQyazDmYJhhoYZNNC6XfBzk6qT+qBIh2BkG1Y6
5rwMlLsHQFFNFpppEq2ntouKbsFpcBhQcQmsBTDhGT8fA0/m1VMuJ3bHpvo7chN43qNBxVLyXvIY
filM12PNAP1kRpM8dbiZF3jsD9SY9yDxvsSEwTwI5VMjJkyLzLnKWbwJagnNiUT+5+DQZzl0m1sD
cgkqk0889O/+PZrjgo4LKYbWIAqmoYkMQQwVIUQYBLXqmxf4exRh0FpZALudxFXkrDoG/MUzJido
6hEDsY9z0D5sq+N72bSkYDW9zGLa1WuUY4LnBen4uTN4SLxjDsNJJx6kC661D+QbC326U+YhqTIi
DgAzjtsCkU+Cwukd+3jIinaA0Y1qcQkteKl1gIbTU/mRpl2XJ2gpDq6GRt1MmEgTwAobA4qNNhXi
OddnqGJj0a8C/qN+b+fw64+ngIjelidqkZUFUT1NsqKj9xDFc111uh7KJFBLPvXQpgYlXyT83rJ3
EaawOOOFCLePabRHP+V9hQs1PqZb8kosmK9o+en77V0wrzZn7kZ3pUSXGeaUJBifw3kTBWUqxSgx
vtfBps/eHMxFN7JviEl9CYNGRrvuxWr6NlFMiFSjNZ/XkZRLID8C9Df5pAir9Kgx+bCibv21GGvm
A6g37GAcGIzJMGRh66mUq0GGIZ2XfMNMlE9R+22cGUCVpNf4MV18rZGb3YcCHWm/CLvPWgACXbc+
KWFEMTWiP/ENSV0WEiBhR+UhUBgPTBWdbr8HlpbERxwQFMdCpv7e4Y4G27vEJ2k4iH9NruMG/9Wr
2/NINq9YTfTeDYG5rIMA0oyf7I8S+bIwePSb5PeommSvIuHvV5PVOLwzBAD4+0sovMobgq7gZHjd
vAZvWBgc1yw4krDW19Etd2gno9zvArVLISc1EQGxa2yBqPUOScc2R5SZYfYZrhkaYC9KDjF+C1/W
IK+5PNBmkhg4tzIM07t6kO1ZBNsnRnzM0PhP2LLprgGhta3L59aw6cn3aVOaGEE0U6e/t1sGDDRN
blnwKI37wfn45m5diwntZdw6jjDbj5qz/Tz0pkhElIforvIBucqKWzQwSfuWuLbPCUX4mIe45LAk
HNWDp3ecZyRv6fbZdRw/cNJo+pDVHV38u08WVrjJZ/ngoaI3ET+I3jvyCB/qEOLBardvE1Oy4tOI
ttETu64P3jaJQyYtoCj4eVdoG1sF4iPezX7QHTWFjQfYY9ox1KpVqOBA+/aczfQpgtCayORe6AE6
Q/hph+wKqexQd8Nn3Zjvq4xz4P4lNM0HZ+mB+skL8dj7IlI8mSQ8pqN8JFlwhxCCAy/QVcyj91RD
AghxWD0O2INIPKasYTFSnFnlc/9duPS1XucP6w8e8u619+Gt1yyMvhMPuq9SL2mnP5ORGJy8LS7W
LUGwXCG04640tR80TV4gTCwF6J2vRtbfmnHDsejk69jEQeGi9MtIgox2ABQp6g7hetQ6/gX6BfXH
A5KGqOhz3fMLHfh457bPaWynHOFO5Hg8/Boz0jhvseU/NwQbdgjbZjmjgIu2yCutSLZ9J+QZ41K/
4ya6Ux35Fi/JZWqWI03Vw7RBMcDOATzurbtaxcokWS/A378Tlz3wGE2NmA/ZjGOaOHHEH6uMP1fp
LeVN3HYO6vXgTI+CK8FcRKr9lk71S9gnSMGinBlSI/I4rcgmb2m305EIj3zIkDv2xcXAWURTnDxh
bYA+ULCMzhcvyaxx46YMieIselDtiD4lQo1fCAHJ1U7PINo/6w2jOPzFaRy+tkGoUtd+OWBXxn7s
1b0zoO+IWpCjmBt8HCXHXAT0RwetLPq58TDT6ewErMwvgI+UXrwcyBhe0EF8N9tkULFgTxHvPrIE
qYnZ/4mr71MsC4QMgPfsFrNtuhKR45+d1mdQcTK3NH4GT1yZhZfjOj8a7ZedxIAy8gUPtH7dpDgs
pL3MHRxwinz9FiBqA9wpB4CHqM0CbKrdwOquULfQen+rPYu4dAP8xe/ZCz706V6n9ns7xNNTZtgP
5LXxhthLP9XnCR35ugkfSEzylHrziNLJwjIRrPS78c1P5LNzF7khvNlAUl15+CnGZC9gdahB6Grx
WxxpNC+a3sdTBDwY3qcCxVI45Bjg6ncntSxjlfLbs3NgQzPb38Fd/wYI7lxnPkNvSu7BPd3TbPgB
WA3qTgL8eUHn3gpqiqavo+cJ0Ze90gKaQLx9Qw7JYWUELq2mDtkxler7FsQKJWrgJTQexIcQ+WBN
+GTYvOuihe+hBpxFqOFJexEgv+iW0sjkzl/v69maA0cyuNQiay6uji2y+PFD4we7GEmG3Nb8HnTe
yaPmtSX4/93GBgyjlZm9oPS8IT3xJYPgZsTPpEuuUMDhA03ZXMFBvFg0qzg1o6o84SX7rvFBS2NH
Q54m2lwm2Ex3DaTtPCLRUoq2exNJcISxgDi6hpBNmviDy+QbnIKX0InPcd1+11kcVal3y7ku1CsE
wo4QQJO4wsSriyWYX0cbvLfIppytUEux+HTYZZAUkeEAlrdBMwNpjaabslJ0WZzD6WJ3wcbBhiJQ
D6VBRwE5eIF0exyAutIThPk6mLY3GwA0vPHX23NjbPyTCQ8bCeqsDc8N6v8vErKbjEkNf5I4nQAF
mygoFnxTxH7eVojSfTTrw1Tb7gvxnv5JLiBCGfMxy6JS3WDDRv2cGA5UBxQLyklsMLOMwP0QwsGX
TBTUePEBfbPCfDnUT5Gg8gvNQfTbztS7oguefmRrnT03mKIhiiMuzMwV+e+ffYpGrlAr8vK0Q/wo
96cueYxDuXzZYcs+TKxJ+yfx8bdtMo9/GpV/rkP5a9j2r9nb//3fy/H+TwLB/w9mfcMoIXCH/2tK
6e8Jkr8v+f0Xu39v62T+9nP/BJh8fJUI1sP5N+QIKZAIG3X+T6zktsoUXz6CXZn4DhJys8j/DjD5
WIJ62zuNf9AMIBw89f/MlST/K41uWzaRy0C+BDLSv5Mrof+XX46kMYFDjwEQPxZUyD9ayK0dpYeh
EPZpPH2DGUaP6Uo/eSCye0qwpSKY+HRaOltXdbvuZzGP77pz8Us4xn4lDPQvLvzwtrYGGqJ1OO5k
Gac7l9E724TN+5Bk+CxNqv4aESB0t9rmXZRXf6JTfjXxDLMUO2tufCN4au1U/7nYsEESQejHbDZ3
2zAlr8kIt8nAm9kNdnRnrfvl0cb1F+mcg0FELYBO85Z4Zi9NPd2lKXxtYJW1OfJW6qG0TN4hIXrV
UWzKgMXZsRYDmktvGrNTOPXzISb99uSrrPneBjcDdw0gVnmct9e/nKC/fdj+umuI/gEw/ZUWSPCo
g1vkGgAO0jPhP73hfoM2gfjqkxiN8Crsp/3gNduOsST8QE6fX+MU6dzbmHdtOG6PefO9D8vH7q6L
qf9JevUZQvJBXhVgiS+TMb6XzG6qWMK5/gVKHJPFqKLtQJKlebbJgE0Evu3QbWIPQPPWR6kH/XxE
kqYZ/Zu9jl8csP+M2B+l2yF2U1Z0kksoN9Kp3It0Vj/SlDl+6Lmv35EuBh3c1v1bMxOPYB+Njp8b
a6YjVz6yyb2NMTXa0PuFhF9XRPUU5p2DKjdknsD+EYxaKcT8SzPUPrY9bN45kfh1DFL0ZQf9EX9V
eGFQEfZ64yfQ8S14cEfKLp1vMRqSVRL9dwllZEYEcnyaJEUrKWMg0mJiZQDpMmI3qYCERwx3fSVx
re9xWc4FZF+FKUYT+pSttDv3vMV5EPVQ3zEVe/CLcb0BJU8fsTbpNU4ZOwzMI1W4JEmuEmqvbAN+
DAsO91XbD3u6AByCdz/hPSd0TsuwQxgVfktU9YPIop0f2m0sle63i8AanDMxnsX8pGVmq3ki/sM8
T7YKRPTbH4y7Kc3VrKCkaASlK38i0xEE23BY1BrDecIjyMZwvZdb1jxOJDKnlU/uwjl2HI1jGx0Y
Zd+IuvkfqYxfga4vF18OmL9lmjyPo0P0ofOwu6QN5+eUZGhjyAhAKJEqBbEMY1VvfvrAvC2LK8sN
EiABvonnk1DpFQYVoqT4SfgtgVc/MexsamNuDgtDepqmU/wM18JU3ZT5nwHmeyhGzuv9vLdJ9q3v
bPBd3rYM7ESUihQdk+djMUafxieCF/auWAwSw2+zxJxRFjF8oC3Sv2Toq69unps3H/uXXrYoTBD/
1NtTetMVYqazfYyR4yms22AtszEKH5thIHWpM14fYC8u1wExzTIAno0lPCtsBT6AsAZsFr1A0TEX
afsJ+H5XYzKcVxNWVEd+CbD9C3ma4V15dkHWaayfGjt6+67Xzb6nwCcQNljxAqDAyBhCuUrXvdcZ
u6uhlsN2CqD3mTG8G6AfJFgdsiPoV3606y0BlMT8xE3P+mqhm4XjK5KdWuca+3WEOcQem98U4mjS
t96vqEYcf2cDQy+JhydUdzPkwam/G/F+fYgQiaEepe1XAMALWGYLQTxRWGI2JuZ2bnx12eb4gryu
j/j4nJ5ltr1EwGPvceB15RIEbzg2lvQINXUSSTHxOGPTT0480wKQHuWhSzd0k9gHsfTBcFnDQWEx
VsgrsfRmh/U8O3gYBD3RKHZMkeCaSXuSMzJdbMWqFcuVd8XAFbwlovbg+YQSMRCJfwERgHgSnJWe
8DdWS3RoofHvvUicSZp62KOCrwcLsgnLl+bVuXuHr+vaD7OGsTGn4kAdBglEYqYjNJ/hHJEAbMxk
g9d648NONvYj7vS16dyrcJku2Y2KWY1BKrc9cOPTPKTrkcIJ/0VY790EF2hu8IoaCCe4xUHJwaZe
Fig1NzUyg5BgAuTf3IYMgwgzLHPypubJQgp9h2zNcqyLQvIFO9YwEvIxzjCZiL1gGlvhujTL06Ud
KjbO3kGASXvkiPtPuVt7dlynHsNmZrN8lZk6ZUFqKwjT3t0mQgyHNbRTGNE465E/H7AORxd6trwI
GURmUyvzEhJazRaq4EiXHpbTQEGWLLwtkfFKjjBj/Ad/DcX92C9d5Rbs1lDhOH8qI36Pkk5PKjWs
1KGCXGTaEJ1u38Ev4609JLN75wL1a1LjdcPBrlIbgPIn7kNFrXyQPEPinsyvMdroLzS4A1rZrkZi
U9LrsAI45Kn60cfd9oiviJvKBqInNveoaIcgZXSqR6z2YG5W+8RvkV9FvEMjl5svOFRMboimjJ0a
8xYbgfK0Q8xt6OK0ggMEiC/Z7oaYyEsjU7lCms1+1SlcxKwnCivsgjttEfta0ZPjiWU6n1vDq41u
z9hksB2zdOo+kqDDeqwFsmzR9u10L5Wbn/w+wWhegwuFyDVBdnK2voUz5xIsaFKQWLyyKFT38BH4
mSJR1RTwmcweuA1y9YqTC91GZBETB5oysVjLtbDujsR+LcpQOTMUA+7QcxtyJCgsDeFeW2qTxx4w
5h3YOXFbOFDrvWjanwDm2jJY5F3UeCsiQUhUSq9pcriFLYaq1JUBibzKdeNTgoVyMNLadwa9+YTt
R7gZdE0fsKalhhDpcqQklwrT6g2vyGa48aN9hNKF8TplvwI6e+WErTN7EVBkGeEVxhjYaHwJogYE
VBdg2RmbxvRlxkfjyY8n2yLjqkVYYLuJbZGOTORZ1ym9CmWg+/p2quvCdogijQ12cvRKjIicppjs
V9krbHG6ybfIm/mIy9UElTPB2rodR2jz3rGI7bMJ+wUjEzd7OmfdK6xW+9DGo3hq0tU+0oX2P9d+
bY7O89ylb8lSreNES7gZQEYGFyfeCbJdYoDWevTxjy0cqsVLpx02miXg8h6721KNbSTYr+FH07aU
4abcRzRgFdYRNGRXJbctHViSOFUxgbpXbLctHvDX4SUDr8GWDwm6ExvI0pvyDPPb0iUoRI3smMYX
ktzBXZNHxDzrL+TG9QvScsEH4At67m5rRkZYCKD1BqweGdLlE8ttkfS8LScZ/9hTst1WlmB5y/gz
mem6HGe1wq2qb+tNslitH3+0pP/WAPj/2WgXUApU9r+e7P665PUvyZM//tTfgifYWQpYGYMb4ggh
9kXcvhjmb+sAEsxtGNlgRQRBjLVFfwme3LY3ETxRTGyY+LC+FETuf85tMRYVo+3HBn4UMQRX0n9n
bkOS5Z/Y31usBW0U2HQEGGj0z4MbthFMyxzNv+2G6aj0ANNlBUtVcNk6k90BtelhFXaAGeGtbyer
5nuMcvM+JBP2zo0zrQYHTZP7Rh+GAUs1fFtP37Rb0TwKxH57jZw9TRK1FzPt/aLDNrVdmnUjrOSp
/+Gg9yAjRhrP5BK3wqVdu+BnMiEht3baft1y/odkIzVCstRiUdS6hk1WhLELLth7RJ6bpWOv2EKD
uDDS9usBUFL0QbHrhPdCnYdW4i5zS5qdVdeQZ40gClY8cUQi1WDaF+UbiP5DvA4NSNUQuU5MAR+J
tCs2WW3ZGUtugguwlgvpsx4uDpAltBcNwNBoM80uRAQFcDLBbpFTOlC8JOiSfe6pm1souUamgSPW
entDQwrBvEOSM09GrJIrRIPXFARLcGnUkL63FGlsPHAOFDq12Q4LVteo0EJ2J3SK20dKvPYFFDEY
BjktWb55sM4VEi6lDPrgEaZmXwYd4GYkf6ZXiKZR4WdJ8AJXi/1m/0HemSzHjWxb9l/e3K8BDjia
wZsEog8GGewpTmCiKKLve/xVfUP9WC0wb90rKbOU9iZl9uzlQGmZkhiICMDdzz57rxNowXny4+k2
jUm+E7wgIZ+O8W1nNMHVhPJ8O3ddD3BA1umNRlf+3a5ra59oarwBGjveiNDMrwC1iE3Qw85hrasQ
bTNfBDfdWNrHjtyCZ9RU9nqUwJgdjGbYUQmM2Srg8LIfkMQxtYiw/BDt6OMkb6xk3/e2ddvZtXGn
/Kj/kslIWmsaXzbwQCdzaF9NWnEx7ImPAkUt6VcB/lqikJmWHTKRZiH3XWjNnrIwyDgk/q590Rcs
9lZ6yct0omjIZIaFxwmSFDeEEruql0+WKNqrIkQZL+wseVYCT7JeE6nuCqfbp6Nvnj7fOnVrxMcR
R8mqVYSVJ22IT3XWlJd8zGxW8bLZFyGtwiBNxNItpc1nmFReYvgqJkolzDvOIYotXDBu0lzJwgpv
kolqytDo7fg6LS09kOGG/khzHaVmtrPiQWyICMy5J0c1ngAzxnf0LujV4RhMN6QTh0e9l9lrXw1T
sNVnq/jiOrYfrVQ8enGvDJr90XMcN7e5k9tbtbiLASs4W73XYNT0hphwkOjpQoMs4/TDoNu3mfvG
2RGE4+hTfJJvplSN4zOVOLQKOpNLnD0czg0MHbnAdPwFq5NFCyIyLsi6xgMHEzOBT+h1TVzQC2y1
xpsWaI+f1PNHJ1KD9HzFay5sn9aaToLacVqoP5mK44sVJWBP6ZHk18OIAkRrbVpb/mzuWinW5Hnj
u6yp3ftMj++GNAVkRSbvkZ1ew+yrOigTzcIpGqmuvytS0uFyXosRlswaToc7GHfQRvFlVFlYHR27
cI+BHyhkpNoYdpF0/GcrCajcmqKu1lSXybhY4hDx7fGohHs0SyO4yIa0CKf2QpwHvIyYAiA3VyhR
WyvCuDx1aYdFrRnCB5JuFhfWkiCtWJCwOaRptm2acjpaul98q5px+jKEmPa60LIWuFYHFdjssfCs
LMxAL46KQ3BNEZfYotgG3lhE1ddu8EW1BOebehWF7WIaNORmcjLd04S8xDZU0Aaa1grDero26/Yl
gyXxEkF0WVPKx+eqlOJJOLG5ynxrxEGVY3tQYZm+T2O8QX2BEBxbaX0wg2GTMlrVGvV502Sp4x+p
5kt/gzUSjsdoBXsqGxghfoF6s4sysl6roRqdcz1Neeg1sjUXXFukrabQbK/1plw4EJHqlaeVyjkE
I6QHDLHDNjIEdjtahd90N11EDbegvUy8+xw4RXoHHY2wcZFP42saYTjhMK6TSUAd2mlZRVGRR/51
FwzpGvhriZUZph8OsRJbZmVvAzYm2l2T340Xp04LMtc0lrOGXwJAo9u4gb+J61fTr+TUyo1PleUN
M4wFGyvyXdAP5pXMcFmZbncRksJEl3GF4zqV4rmpycezSdOulQyzdozbaqnoJl+31gPPHfdg6r+6
fZLfpd1IGyM3AWNLMoKQ92ZOZg5MaRNdrfPt4dTMEAdU31dnPUiOHbCOd7QJ99JVJrFAcGrc5FOG
b8DpzXTnu4bCJJMn+lNlOtNt5oY1ELOoF4dokh0nRcvc+ngttryvwFkFXUCiojGq6YBVBnmKtDV7
ZFnzAdrNa5AqvgSMj3eJyJtLV7P5roKBfI7TL5TZyGSDjWMf592Qx8dCAD1D30zuQjcPDzlfytHR
8rfGLGgFZlOypj6heWKyRW8dSYGQ9pHg1k5Gj/FDtO7S2vBsX7brTunRrcIGecoNSnHhlx7Q7OjQ
9TpuunC8csms7gYgHydEhiUvZGOPEsG0SvXsCswR4LXUemYs9/tcFbVX+EOzRl52bkN/acNlmFOc
wDjqZm9DZxl80HRTuXdCuqVRMMUPRhLPGwMn5BHzbn1IHWyraY0KlPnSeichBA2BPejDFWP31oDL
qFe6r30kxuyFhhivdBurmTnMNniiJNrElJO7SfenW1EAjNbgi3uhBfW8qaylIY/HjC6wzx5ZqHO4
CM9ZL4aFctkd+z5urgQ6UrBgdyo6Qoo4XYLh88rqhHVFm5dKtwirt0KQ2wcOYbM8tNxoLSYppefG
SrX5yexgnnA7lcdAS+x1uVB+rCA2yOZo0AuW40tSQaescrrr/EcVttN1KUtj36PhUMnAyTnJLm6O
9RBopy51aJIWBtRb7Iy3sAZAa+jmt8gPqptMLx08vYrwQpsDaA+CYfR828puW9Gv/My/9FbnX4qm
a9dVJKbrJquNA28YaC/dtzU88fAoJnc8+IEbQaAQ2VNhYQyauzQ4VgKJp6Z28UzdfWpqtk8xandA
GDQWqlwUl3QMWDwEa1urVQ3Lqdm/GL2t7ePa+taFkbX1HZgUfp5Y73KC8qT03sI9R8fWy/WiuRqj
sdtztMUU4VZvQQh/QiL7fCTpqPbDNAYbkr/FWSrbv54QFNdR506bWNcKmCAa5j1pzNzjZQdWRKKW
NILOXzAKNsi8NeZXJwZXRSewONG9FneCla327EyhL+S+wxbb27anNULzirYDK86ncJ3A5nmMfLWN
K+NoVwlRI9yhL34SytSTZVkd7S7b2YbAO6Cc+bvgy13rZs5qa1j6tK6DyRN9xN7NkUGmvekRuniO
0cCnvdX27gSVQWDriyKsKmYu86NlNsEeo4S7d/IMv0Hk0M/wrVeRRfo6welyrg3Y2i4S5Nc04IF0
RvgiQTqXGL16eRPOKj84UrXroRHWJmgEipfd3ZsWyhUN+SUFZNzpdtcdoxnZKcRov62FMM9JEy5e
0dB2NrY5V7UHS2VmcdRHHmhHx2XsFHwuSJUjmYsoO/mVA5ehG7Q9wxRqHqREFCe36PEM9mX+aodo
T1U6fejZiOI6YN+dlOW51bAhoZF5tkpSTiELPaSucUQnwWxdSzvFsKRyj8L+3S4c7UHCM9nkhsDD
K9v8GOpmBw8ta/KblPY3ty62sxreCKcKjJCloYHB9KMBaFGujMNouAjo0fCACAJGpEVpSXDpbbqe
s0KZjuwiDSfmYIHhjGNle2MTDTeouKPHqcDJV65u4QBsqcMeU0ObTOY0tM6pKHPtwvYT0KhqRcrp
IaoD0xugwNwbTWEvDmPMTnjMKOo+dDIX7dqsmIyxzauBYkTVNeGCkvTFtLZVH3rGHIvzKDDRj4Zx
yFp6DSiC4yHs9PIyDfc0kqN1rc2osCH+kCBt4y/gEduNdMLxkS2y+grlBESXbNN1YY7MKgjKFEOf
FiUHo/OrM8xi60FhlSVLB0f0TGgsX3Hg9vc4h95VU7p4jKkwQj59evwcvG5bLBqnfmj9i5undniK
0XMeKlly/u+zniI1Ne3E2dZV+/BZ2ZUL9h8XUFTC1eoyYuaIIQP2uapyd2nWYBHqIPXW1J5zeE2e
/zsvCCo9MIup3kEd14+1a8e7JKkb/Lh5/SLt+gVMlXSYEZFVHBWn7NacVfjQaC6XL2eLVfL/r3ry
Ux/+vxEpm66xbS+DVP7fKsuvQ//+rbT86y//IbaY/6AnSgN6UVkklAsDreMPrQW8ooPMApSRExMm
/kUF+b+MD+0fiCimZdvInDBAzB+kFucfFrQMx+Y36by76r80Hkb/OWWNCIQCZBpMhgGYhX9O/dKx
tbtQGzAufsgp2QK4V2C/ohPLKDZagVUWeEmIolqAfSvat0CwzIQFLZSsjV8rW/ieM9TOWkNm9374
NP+il0yk6CcNaLkydxGZQJ04limVtSTvf0jWy7HQWohS8SqutPESWlO0c31yMnlQGXjSaEg6Oh0y
YeblNjFC8+DTY7ipk7qC/0BHWJocezlc5MeKkPKmxuwLQ7Evv3CuhfE1jc46nKpoN5XpV1ob2cZB
CIHns3SPZYukDh7hqZjizJvrDuUk4uNoSBLiFc8wDy3vG2T03edrjbp7XfuQfpM6/nCTdpurisuQ
dOSiqS8Jg5T0mKBkrLJJ17dBMT4Je3pCDblmt2iBNja4bFzc7cbEijOGxt5iNA+eUEJOvg0IjdXE
WBU2Zh1z7K67UluRz85Xczuck0hthy53PS6O0GkUf1U5ow7CgAvOU/UU5xzBNIPEXF4Qmh5HEmz4
Brc5ifPUJR3P3kUyQ2Q3BDDX2Jj9NXNpJCBBluBs7txDVvbdqq+Cj4m0NxH4jLkIXV2sLY13tLwJ
Cx2H7kwLpdwMegQ7TfPsOSW34V4CGges6P4WrbjY6H73mgcYirt6vjCfY6fC6Qb82a0fDGTHCsJe
2ONv6XYNJCHthzKZMPnaIJA5+Lu72p3e56GeGKCgXmbDpXju5OC1pCj8nvb1WCVPnBEfcrc/Myhm
28uivGKsgL8K/Z7Ao+oBgtgkWaRLe2Lmq5cF/VmSnon/igyRemPAl4bLajGw1gtfgnKudjsyiqMk
tdVKz3SHE02mbMPD3nidYJiPbvs3wdI9a0eUAdsFyLdYzbLhRWDCXNWBrFcdIgRjYeI324ZomTb6
nlkq2Aej0ljpbvwBm5KfTQQbEzcFVRtwh3eSmTaaSV62NuOvoUoYekS6sKFhgeQXvoBj3hv60v3V
+VIbneE3MR7nC10vrPGEMSYdBrooKG4+E4nVwNEI5NwHfZ4PTXBfofHzf4QzHUFe1vgeHYhw1niq
ShOZAI8dVnhtw81v71prftVSozmFopi3sUveNHLHJejqRPUVp8vw2qiK6DFNkn4bNY16pvKrrjSr
Kk+l7D5k1rg0TvwrDYADAdxMmeNbFabp0++Xjp/F438uHIv7SDqGwzL6C7JCN4ZajwYWDgIXH1ok
ds7MuTeyxSXL6ts4rG/iJtxNNQTX37+wviAp/m1/sVG+6UcqjkE6/gLMTb8spjoJSXq9zbsRN3ck
AQ5Mbrku5madZ9SxZRPtDFwrQ6Rdepnvk0biZHY4MDX4P1eGyN5+fzk/o0n+fDWLO+qHBdSkRdoC
xHmXiXpp8+wWkyMNR1gMHV7v37/Ur7vI5xu3FjeXtIHnSqxnP74UsSRsO2X1nifya8PAKy9J62ij
+WRNfv9CPzu6/nhPli0VzQesaKb2C0HJB43Xgkh812NSwNLJ4KCGksEBxkNiIy8Xc0J3av4bGMlf
fZA/vuiCL/7hg0wpOmp62u/M/+IJ7skixc61M9jvYCCuf//+INj8+R4ydIe9z1S6tnyiP79YEWoN
DbHmnQJvWhNNuZ7m+ZsjrGuBKeEkq/wGyRsTVIFpxBp3jm5/sAoALHeO5mSAK0f1T+VNm+irNJL7
UVVHZIR7ThnrqsxZpcH6veoD/ulk7s+QA+jKtvm0y6Q8zlF8V7l2tP/cIiHV0u7vMcAl1nzV0kze
mNa0rjqLGVGksDkxT68wKt5i4rVUbEa2cvuJJE6AgRW956MYiRB/9pEplgdeHvnRaLLvWTlcs7LN
sEmyzehbkCZgMvV5dZ/hAF6lvUNTVyR3QyYML8/kG4H7DyY3gIWvsIdPKR7pOaJ3W0VvQE4eOSmc
Ki1G5KFHtAYl3a5ni0lkYUjVI5QmNxWt83UZMvKsMNxy26XNrim7+7iABWKh3wxWvcXCmBIN9MVG
n0wIDnp8nmv9NR0qbcOWMmyrcjRQo6phPZuOTaOjKOlSI0FBwrj0s/7yuQiLZXUnO8um0FIi531n
rfWyoMGvzdQSrfGMJZ+sEbTDNbPDbBo9RMwQWWdcFRw9fC0b1mFHqx/zZb+J+vwO+r5cgSp2vNyi
60Bg6Tlx6wcy6/EauQF9YT4pbDzgdVnes4lMDVLKvCq0+SWJ1pUGnCVwbui5H7iapf8QPfcOjqQ5
Z4aC3WQ3oevsAiLpvFoASJFxAZShzTLAC19cuE0UXt6ljO7EhZtta2X1ZRD29eDCBwmIj0nmBs5O
sZsicdFTDjZD/pFP3cFP1N60tKuJ/EtXp18D2T9H0GSCXgWrmqRr003fnIqfoobnsXBADOvpcfR9
nJeFWLZLPhu3d99Ubn0F5OLx5q5bYcxsZ83OceYdM6O2fW9eD+l0J+PpVHWkp80sf87q7wZBH2PK
TmNeXQWKDyQezWbrI1KvuqlIobhUdwkgzhXIl2hXmG29oardQAM5jCOWP3C8W79nIEcgnXmPMQ0h
rdbvRNi/1k3+UBOvMKDgKlVsWa3GVeonsJ/jU6nsSzham9bOHwySRyb++xXDCTm0gLvQZUnnxT9L
SXyp0K0DMNiXSSUfWR7KVc3oh0h7a/2GaBKwNQaceKrTHmgSbmun+pY07k1pINqRFNRWPsObMMqI
ez/sHuyJ+RsLakJvOTUyRkDtCxMuVx4bkyfFOP9RHVK0/TW2/RMA+Mt252hoNxp8QhBRvw4DiNI8
iTqVvPeRkxzAA/cglhxq1KWpyL97fzsa433dqke46W/YeCJSjKmxJiFUbhU57ZPm9yUjagIAbBHg
S9fpPhgY+Fak81MKpeZr24YQiTEm4ME14zXKLfJC0+/aUXj6ZN+2RAdIuqZne1gQCo0K4X/0D43F
ubQ3iGAjD9vyuYC1cqNDQN9POX9ulM20BnyUr5zMbj0yXk+VPj7kYj51LVV7nEnOS/4QXYky5u9U
ap+bTMyDFXgOS/E9BqhZxRQGZsWjFpCqXZXIm6u5J3cU9MF1MGl7R+97kobEZ4zK4yBwUGGxT5fT
bKI2WCAJJfYoueXwPbUUCbqLxQg81mRrVXNc9wdxDnqY1yZ4QC0KKSrMazcXT6lKL3HI0lHNN+3Y
jJfMSb/29jLf/V/F7F+UX3/e8kydIe4UpxykHFNbNvwftryQA2RqxPH3SZIwDAgTLjj8M+3LikLQ
df5mg/3z8YECz9Ep9ZZJxsAZf361pNLtmcjCO77F+7IZwPAW8cvszpffv6m/OJ+ZkrOZs1S9LDvy
l43cj4N6wDD37pfWzghIvsDxgAwTpbQapnstK+8dTby7fX1Ayn6wgvEhRYzV5+KVtLf+N0eZX4+p
DCHhYnjLgAqpvz/N6z98xFkaF7VS/XveVTipZvNb4Sew1rNH50Iac1ilQ1DTAZ7Ov/8Q/vxZO9IC
j469A0sIm8bPn7VirgLAqY7hibCcVkKTIBEZdOoNDhmY378UOgI/7OcVAqcthQZmL8dZQG4/v1g/
yVnEJg1ZJLXUg/AJnkuPS48+sbnrA2TxkKbLVdNa3+GhVavZThhGQwnmsXAxI5VpQ0yvSqcNntmP
zra/MMpSULuzMXJI9CloQWOPaVis2a/8J73uhzPAhhucywmpN5xMgVWcZ1lEO32pVBoshtcEUtQ+
leRrTWn0VyPI/g0u57VT8aQmqTQPhOFeMcf4NBI4FzBMYWWHA49yG4uDcscG4XeIdhz1yxsoKaRF
B2kg1xFrQ17P5gNtRGuX+8y20ZAaArJonjQJ0RWmn8GjZJgSJZN5QAwqb/KM+o9Ertr7BV+4UwVr
Zl+MtwgZASK3uqL1r3+KFFWFFZPXw5hl6Y+Y3/vz57KjayxnqitzaB/5NsNHuC5U3tDaFsGmc+2z
y3QaumO12htZhZIxd1/r2s83Y+CfGaBkecwiszdRBDKxiTGzQ/yzur3T0HomfWRe8NJnt45P+d3j
B6D+r7XjNEL3zEr87zEoRlLu+FTaDrk9RHpwe5JEhYvwIWq+IN9aMuIuPmvmW6xqQiN7TiruVVej
aeQssR7eD3ArrkVuOESnsF0/3hitY27HYoHnxKzSfpFMa1cVdODNhtAieIAr2yjLG4sulKcxGJRN
myvpW+ZtlQxpYjZGWcLOATszcJnRAtnJmcHk2TFjD7OprW9Tq953PdPKWqgAuh0zZmvwt1FE/77P
0ZsykG2rsErvxibm6Ch6F/9xDlhL6+4afhbW1MBYOyORhtCAEteD8w7CWnpCJl/7HjQHOTv4RzrX
/6n+hHNKBc/YqB2Uv8wLB6c7x436jjbQwXZr0lVtOKCF/AJNK0XE+ryW2fSTJxrD2UeMJ3o3o7of
NWWNm8mFIoP0Y/zxEqbBlmjZvOseQMnad6Nxa7bud2B1X01IaLs8b7aJlbaPWPFglzD6GNr/+wg9
AHwlis/ntec2KkhnoLTR8sWEHX6YquFzdWs6zAM+4M+vAwQxOcg4UMuYZdwMOoG6oBjehrq2vZh8
mhcuEl3Xd2uaO8XJTPhYHF/utUDN3qAYaFdWLk930N4qlgnSyxkSUcXLhjVn6rnAx1gyeQTLaOBZ
TqE8POZXpimngxK6sQkN7TADK1iZhqjuMgWXTS98gjTShhYQrbF40owPwpNjJphtGbWa9iGhXdwR
MaDSvp3JCloM452Ya6lPIUgexdfUsRZu3PGmn2Ycvmrwmpq/ak84znCSFAe34V4yfDvbSA7pHk50
uE6LsDcXi3hE0/GUqwWDA3od/wUuhIpPwEJ3Y7Azt9VyU+hxUS38AF4SfhvHDXXXO8UHM2m+DQO4
H/LuCHI1Y4OB/PFDmURxKG2y/FHpfsOCqzPcmP4qM1Q8Ie7sxjqkOWbdKMYlH6U8P/XEFxYRXw9U
CuBskFd+mZ+zaroeEvQGIIzcmQiT0FCqFzuHMg48AmUw5grB3bAgN6cRtyYOYUAQWJYYb62mOwxN
86rX451T9nKPmabeOYa/N0ci8SngmoUR6m7mOP6ISXYcQ0j1+3rEDMxzfl+KcJtNI3H1+Llq068N
Ha21ZtC2FWX+PXG0j6wOL1NZ3dA2u00bwAdiwSVkI8SumeKmG2hOlTnLtg5GgOEw6Lmf/2kamKZF
BnlDMfetBssvmkSujFmtGY2xLkQOUEYwabzOMq+lc4k5GSBW7Bs22MP+DpATSd5cUjXhvl0FPkFX
kjbsWfWLkIyV83tjA4rhwmQezDjTKODjuHIdR6Rk3HKCzu8u50i/47AdF8zv1kOdkc92Vm5bkwXX
1fAVDFhgdiaOgE3J9I+HgLuaCW5ik4HX2RAS2cqepbIr++KQYDFH/0tuc8O90/ysvBlcHtEkh38T
wqyvB6YHO23z6oKl2cT5lHmVye0KR+V67qM3vxmHTdgOTBtiQOAhDbUnJ0ZXFLiYNsKgjkxh527r
1PaZHguSy9DYZ6lSHCpVzr8EZQinD+D57HfmLSdnxzbVvmUk+g7DF3JAz2eo0mCDfx9BIeLUi3ug
ptpAWP1c8UJ8S7vebKwbjUPIvrNY9n5/tvhT4wJftsGMNMuEGc7B8deoWRaCRO3nkjRbkl98ZV0z
etCDhPrInJmjpexjwwzOeDH7MTTl3NnmbkbvqJx2rTliXDkiv//9Ff35yLxcEDhgbVEegTj8fNaR
5qAFkckFldK4sbLsyIjh63kymEpY/o1KtLSifj1XIeu6xColgTvzc4jVD2fHyJqaxHUJoDcYS33h
voBtfIksa2cnDPkAODFo2Eb95LbXtcfMsbaDhKtDKIj2LzyT/sz5ALAIgJuh89zUvTbkG1MQnkbL
x3DVPVaBpBGfjd/crvxCIAuzvY1bw9kHqDaaUy7F64r9ak+C5RaUNOSu9KZILpo/IstoNa4K97HB
B8RTa9xpTctxrVwnjFInkw+QIBqxQc5jIeF79BuQWqTq2tQrIPZS8xvYKKZlPSeeFmQ1xgA32Y56
t7NVAUYiwJUQuEedZa2M+j+Ox/+TDeMcL2xuoH+Vf3+eJsdQ4rT73/+LGvHfbcx//q0/mpgGTUxJ
feZojB7QqfT/ZRjXmBEnKRX5R0nb5a7kjM/BtQ3/8z9M+Q+HYQnAqv/ZqeS3/mkYN5fsMIOAqTCp
L7mH/0tBX/1X0VSz+BGsQsgsxPQdY3k2f3gewkGfJpPJr2BtyQG1MiZoThbpgCeXMSNRrWAcJD1G
7d7t962Jp24SzPf5mzXJsX8trjRbd8hyOja/RdHzq3hrabVNsnL+Xsehfg8ZH3uapgNYsBBI8XKS
b5lr87kr0K2HFt2tLdNuXQL8OeGi3NaGOFjWmAL0CG/iVv/iSzQ1u63pko11f+W3M5qPKgBO5x0z
nbAjPyUV5Jk6KZdVvI/Du2Ac7WvHSFsECJLPwnHbDTmT8ozZBztObdVvVmpXt0WSVNd2UfbfG7+Z
tyAOx48UidnLzTBMIanCD8lCWdkbkxLuCzr2ITNlep0wUG4fhT0bkN1ghm3d1dDP6go/cViCXS7Q
6Ijrre26zL9ZWqa20TJRHPNP/zCg3nmiq/1vqsuKDTbpYd07lQLsmpI0scZizTw7uG4xox/ygF9c
LTfO5KZzEIpQQRGru6MVFinT5FLtmYQzwLM5rC/RZLrXDJ3XNo3PbHl4prT+Zj2m52igFMnS+qIs
DKkVw1o2Rsa8Hq0V5pE+2iBWArlp2+f5vE2J5eQEem3rqqr9dO3WBrNXVC83ZafztYyQObE8wpyI
cYmNZVWwRwYhY2KL6Zs1LFi93G6vkxEr7BBIckMxYkZHUNGLiu6hGbWv7Fr+nQ6U19My855pZa+D
iu7DUT1VpH+1nmwR6iUsPH/4NpZQc7qye4iKQD34PXypPgvvgTorzwBpfUxEqm5wkdOELSyxrYOR
EXqwJIE3Ya2j41Tg+eytq3wZFdhkunkgWUcfiOJwmMH/xK7e7gE9qVuELDh0WpxtDGUl23mEXmP7
GQBvl56vp9XyCW5fuHbzxjwEKVc5adZ4i9KyZjiIYKZe3t9TWnBsjM8CgzCzqSPmQ3VeN8ffMco+
jWbpbkxl7YGPIedZxJKg2FxlAS14PYH+x6SAm4hA9a6CdIbjKP6Stb57JhqJvSynKRuX1PO2Ts5b
b+I7/NJLutQ6C9lQf3RQPRppHZBUsldNKxbP+CBpWDjNO5S7LFzDul6GE5L+3wYzB3jwJHZ60uPk
Tgj6H0XdLLgpwxF7UdhvqrWjbU8gH+KrTSoy1vy9mPKT0Rnf0wy/DRkVaHl22R7cqv2Qfq59hJr6
EoeWvEn9zuQAx6BCwAk8TRWwvaNZOf527o2TGOyxX8zoNXTn2j0jMnb3fQiYsJPiONrjukqwLzPK
Cjt7RiZ0iOhtWEbdL50awlRZhHJa20/OCMEFfkzKIMMCVGXkFo8kENSNTBYu2Owqr5S0rHy30onK
dNm0m4iBDk6Y3DmB3q070XzBCRh6PSEW32DftRrqE6mlH51Zjwe9sY+C/OBV0SEh2xPuD3+ZddDG
3FiNNUNlwRymMi2+4+Hddabrokvzv+LaoBwco/seRBmm7Ljaxx0oy0xN4Zquv7H+vERjQsgeYeWt
ynqK14Mx3Lp6QaUd5dtegDfqsobiy8oAIUty4L5Pt8cEDrd3BIjqIofcNJGkx3VAShmH8SF2+RJT
WuRFOx3Ljol5rUY5zj1HcZtpKLYUHFT1N3ZTvlpxUuItiN+jrFhuVGeE6QQfzeyKcR0n2j5LjCt4
1zazP45VVh1dp+TzDt8cKz20WXATONnRjkrwiCA+fVPbzQmLD+7tlW73D0BQSX2wtFavFaZrSrP2
+5wwpStvtOhbPdsOEZaq2RuDha/XbVrS5NbLXOaRBzX3oZzV9UzRxzquHyj6GEFCm4I7TcuJbxYf
LoNdgNBoar1YSdxAQsJvGvjhlV5uwsrZWDMubhs2HkWK0W0A9l5zbGNBN9GpklpMJznNTKUX0FoY
/6Vfsnym1T/qwcZSaboRYEi9WERPuq0kHvuMq5ydS57DVxuD4Sny/ZeoHWmtM6FhTfw1paulP4WZ
4PynMhdOZv2EfST14lbNOFnFqSGNvFAG/eV5bgsnXlsVDS1F08KEfk9zkgD6EnCkZ7HN0SfDkMqv
nlvWU93c05l6bG1kkVCqRztKD0PQHNJ4YmB8VTBy3KUvqB9Urj0avk+3Ct1OM+/ogt8jmTGKLb5g
xF4ZSXFdzkzg1oJN7g7P3YyKIBR+DSdknjTICdEe6JNf9bMFCps0uJmcLRz+not3GjVjmzNcINe6
fQYbn/zYs3IYJG0q4c19vW2zjFEDxRXAiQ3OHSBxclyR0VjjOH2FpXTRu44nmYMzGLdy007zCqP0
SY4cnRMCuMfWJYFe+8VBT+WjGIsz9ioSWj3tQ9hjKetg/9ovGMeKQ3c6hqbnRB0zy3RylBGUB6aw
SssLlX2rL8mQ+hVs13qoqrPru4XnjKAokhIHin2WDKTxJhF+izjje37GMjOqia+RhwNkPM7lDJVP
I61GlGuj4oxHs2LepamBASCHZK5qOQebNuvCrZGTXhBCAxAeiOBs1UP31ul+89TCqzz4M3Rnp6RK
3ywj2va0+rRjxB+6D82ieu/SIbqtTGB9rBp5uplSE+Isg9avVGq3N5Y+kMGAwGa+lXKon4oYtzM5
nm+aZoq9NNhpAeTVm76R6gBcq/GsvMT8qcyi2Os6OeG2++rmxfzNTZL2nQY6Vh0CJCd9Fv5VNQ9M
1C1ZUVdhp+wv+JxBmPsTy2Ge83NWIfIsXTRfex57FlKVJnITz/H0ZSwdDFy2lj+6vZMwkWVw5ZUc
MNczZLw9hb1OPCIPy/JuEoguMJyRjHDAYMjmh2x5wLqt5pfuodR1/GFhMu9rC6RVTVjjCgPtgPSq
ata42DH2ARWxvQJIUqz00cnQhdW9sIF+hkbyXcbafO+CgMbgX4sLU1G7Z4PlDYfYrBOtsuxk/3/I
O5Pk2JEsy24lFpBwQatQDJPWG419+zmBsEXfNwpgW7WE2lgdNS+P8HDJTJGYpEhKTmLwPZyfTsKg
T++799xJmVKCAU4a0FwVEXKcvjYd7En8ODPA71B8SJPnQVvfp20X83gBml20EzwC5Lieid7cwXh0
toOx0FBCQm1tV3kQ0UQQ54cMv5cG7/c0VvIij/hU45yqCfqv8e9n24zvi3f/PHq3wiqqkyVr+Y5b
fHhkqdfAFe+8I4P62zSZV52RGzzsmV1vIoJT90CrcRnZlfdN7w/xzXLMbxb2Jic8YdmGxvOZS2z/
lPl9eo0k8WOmqn0hzTK9L5bd84FILeptWbF3d8qpu2JLeFlsk9hxj8PSRoe+GaD6zMR1WIsPvyay
CRfJmIQHToPx2CV9d6jC8jVD1mBZLNiAx8v80vYUJKH0lhtb4e8lyVqf0ikv9nncYcXNZfexpG7x
Db0dJmqWRBfNZNPj0fknk53IUzvTXzhFbEPRn0kNNCpNttYgzcMU+5CzHTEdQWkSYYqIuAweH/3e
DL6iqQL8mFAP2FY8/C4MmaVPp+dxztLXIKd8goQa14SF8FNLEeVtms+7KQOVazfUTI9J9FT2CmPE
kph7YrPTpd8xBZOpz196ayK/5WBHimaKVnlTrayO4t8qsLpj14f1MfPTe0NXFtZdab5YvR+e0g6R
BfgoccAu6OaLspDhqcT7sVdpGnw2xMU3+CF1zpZcwVVTevgLDMiTV6EDz3jhizymC8Qie5Ak0vNh
5JPBU0WPLvNIIe7cKHzu25H+zjCg95rB76GD9CDpkbiolxKlE4u3VdiPNUsK3r3OuG6hVxo2NPOJ
w6rzZ/examGURlomhPHPoQV5IX3GfJnesYf/CCUWbnJ6y2XGMvQh8+r+IR1UyT0mk6/F5MMoxEqq
t068C7ljhr7l/OKaxexB5L7mNzOLUxtTpDNI5znINbuk97I3WmvcgzXMPv4BfoMr5p70IyhK5FFv
kRdEtr4lIIPVOPb954LO+eOR2tiSJOPVETZTcAtwHU0c69/W6KlHSIbOeMeHem/MdA2PYgppeIMe
5Fd0ocT+LD78JcA1UaqZ6+fgd9527BX0G24Um0TQjmYE/JGE4YNmvfCRtAbesLU3b5vY+mU1AuoI
mdB7rIxUYIh29C7G0HloyAd9jnOUb9uA+SGxbejj/FhIRJW7qFQkuFpxp2at0fLk4cDtD5j0gfYm
CwOtag7zTBFF5w7PVNW428JcOh0+bHeqRSaH4vVWM02vPD8P1gWyzyGhuO67HWwWf+w6fN6wHF7W
O8uciH4kdRnTtovJBRfgOiMd8ZEUwQhDwI02yg9/XFJMEFpCcYca/Ogk9rx33Ow6lILXcwrhqetU
d5hDp9sBw1C/uLjTjYMxD1+s020d4V3SeWF82DbPf0R+Alg0Mycls/wi4v6ZvWa+czQFR2keTuBi
NiByPWyRsVuadLgB5JqiU2qeTlov+S4bYOw4mrZjNpXapprA0xXdt6uZPMOZznMG9SRnaI/pwO9h
fHEfjQqmD62kjExeTZoJvQ5l28jVfas5QDRBgwSSmg70JxHoP/AA/NVrx5Lck5RMOgFhfOrGtNvx
T6LK0i6TF7ia+28Hj05Jq0Mhj8VrTKZl8Z3roVp+nf/C/83aG3IQotd/Lr39e/se/d//U/5ZePv9
X/lddzN/Q7rD5WiaCGlYHpG5/kgPGPZvzN0AFyREBrpCSSz8WXij35KwgekhcFhC793/IDUEEPZ8
rdZh1UShMsW/QmqQf5HhPcGy1ocKYfKlPEurg//8kGTz4o1FlX/PQpEB4HS2vxGBnzJNzyE7TmkB
QB2X5ee+LlsPIGefPtQF7dTEkq5raEereBSISaYLoidTS7jm8GuuJjduViYEpg92XmJVa7xP5sXp
NV5o6yYuF3EwLZAG60H03HI1HAh1puWLyX2ZMCwCc3Hvo8T7lryzVmROSX4rOcJx9bzL2XNtXDUg
iEKzjlaKopVNKUR/50unODYxn7yoq0pK7jTPKNBko45X1abTtCPYgO4+G9OdUUNCMvwJgo9PkgCo
XJLS/WCY1ctsjvl9rHO3sNjJTmi6UjGGM0mJlK0e6CWwT+/jEnO1NJNfHdiaVJQH2qahxjup/cmJ
f2l0kJyihFoe0E5QdyRVRdCeCrBPfa/uMzBQEnjGtgz65SrrvXLNe5UUvDHuYFK3B6EpUkLzpPJU
0foTUeWezVOzHzpIF2HpdNeAm4o1CkW8ysNgvoioVKaOHn2xKf0X6Q8UVzDHr4kec6UNs11Zz3Cu
bI28Ghaascnm5ndmUSzrFDmtXwZxTRIxPNYamzVz+YV00W9dU++dlr5fixarKhHoD8HFzTYA2vC7
SveZR5TBKtkqRdkVLyOsqgPHTuG22dukKV6p5nnV8MZPrCefB8elHz1yTJQaeTXPdnpVpSaF0JoN
FlPoDcDMKJBd89j7anyG4KYK4ndPk8X6sN+x20ee0dQxzMMAyHAZqm+SAsixM8DVJMSpoWFlqcaW
idoHb61RZhXBuGozo+0ec406G5zCfitxzG8pC11FlJDv+LeeNTsIDwFnRUS/LuIj58eQTZwkHClk
r7utDPGCjFXEUYwEcZqLZWHEJ9WH+7A7EI4nDa9PKUqQruEpzjC9ssdwqX0YPxxqwBnYeqmQi2mQ
qyMJMeuD7j0azenX/nAM2q5ZVNGboQ/KgBOTXGrO4pNDdKy8n1Qfq3iSmoPQR60FvWol6vnNFYhO
vT6Qh0JgcTF7d9tzWi/62J5rtzlQlgrlHOpd5Lr9AaQaoykkg1wf/K41HVqnK3elsAB7+e2K/pIJ
3ghp9KYxw0+0ynLtcnwayBQQftFXk3tTTxtCOb8EsKPt0Hv9TTMZ0dqBC894kvlbgeviotezC9ch
CHGV4W7RAfmn8jzmJHriGVMVvKrAm25S26ZTyIVRaMKYTPWsZPgoa3HFyEG9N4EWUwa3tvIYr6zC
CreETJofpacv6hoSIGfNp9MnoOBVUh0GbjMf2e+Dm57hZF5ywWSswx3HgDeX2XVATGdMhuSA/6mB
I82PmgBq9hCk4VOZtwKiMu+uJs5AoZj5pm0LizzAjD8ytBtC/mPxgEtBPIQQQB9kFt+GdvrhEiy8
Q45Pn2tfMqwa4XluVcOu1bOsPbCIdszm2WtcWi+Zd/0qpyYnsm5SPQvjpqXenotYRwC80PMy5bzx
dtAzNDHMF9DU9l01N2i8bUztfETpUjF0yM8N71pZCvoZBA95P3w16YT6XgJjuyK8QHuWEH5Pxz2D
fdpF9r7lqnZymF6QfNtOkBanItcr+MMALusLTWR8F0F+b8a8c8AKdEdbXyg6fbVgrr9W1fwxNZZ1
YdlD/iL1TYSWU0rMTW4nlb6nxNkYPTkWBIXE5hacKf9e6LtNEnKzU912pMZnpfTlx9TXINr6CvL2
XX1tWqPa2l3/YeWwEkZ9iYr1dQow3nzs61QduHCYh0TWyba2m/o2sKCIsuDXtfK9EcH9pvNOX9kC
fXmDpRivTX2hK7jZFec7Xqave7SX1idHXwEjh8ugCAR4bhwa3DsnaVH3FjIaAnZbjgC8eexUW2BR
kjHaCAF0XtF1Ef1Ui98+RLOHMS+JxgnZwGl1JZ1a+ovaL+Kbyih4BqoRagZaTrv1oq7AK++KpSHl
TrhvNcTztTV5+R76ehTzF3TDp4zzBDY4Cu0r3ZjcUzjMwvdqCZy9VZT221C0oC5dw28+nDAfHkMj
FD8O4COOx9T8RRO3xaUpcbk44nnI1ir3vIfZHaJdrUpjH8DG21QRrc9LnmeHvuVK41foXfhYw321
IGkVKvMhELrR0V3cdJ962LDs3vfvAmiIlO8o+G8BSZ137lftFsGz/K6wTtwkoxc+gyNApVKQgVLh
Ojc2N7034s7DNgu1tNWXQEbnOdlOHsG9dArxM7F8z2mlvO47ZZ6QzwVrs9FczyAytrMYxqOXdnST
RTrO7fUB12ynXfsL1E5lJnJLwD3+HLBhbil7gGsnoZcYcqouJWfvZsS5vBnyHADC3BXhRnlNChkt
rACldG1cHao2KA8CLuzK5Jm5ThCY4Y9Yv2RYihtl5x0MDanuBz/J5GqMteLMM1jyiRk88E3Qw6Fr
dk9m1ENBLFrrNVEFz3rD650KZtzduPfoamIdFuiLCrrKaGsW6Cj6FyqzaHQt6efYzglvOrtpBHnj
9A1u/nddRv1HBbx8n3tdujdKo0T6bprrOIXIi/m2uFyM8WQGRX5vuT27UY7B6Gg6CgBgZ/iaiGIe
aqlw/2CxI3AmaDEaE45LgHltYqxaI5DLClwn8MdOKfdJ6PkBMy2/moGNW2111Y/jJDmNEewHNpE/
WDDsPGAILdT9KmtyQm1pvBzdMRI8nqPzi4RD+jooi73SmB59XtjHoQesyK/gIRLDqeOZXSWomKB1
8qpvVx4AmLucs3g9xhQa8uHNN/FA8WHZkjJorVLczjGMsJZ6NzxyLn9NEvxkqYSfh8f3cwAlA8vJ
NKcTKm1/kxRNOl7wVduTO2bVzkxb74Cy5e0GSISPmcXndSlcyvw4yi9YJEUri9YPBJN+vo/MJXov
JjdcRyLN1wIrGWTVkOYHNTTNc6uWzWTmHi9nzECu2WeXeU+tGeWWJWKs8j+rVE4PVCJ41+GSQS2O
F2hMkV/INzNKr7AyO4Rqem+bo/BelAzBl9CTGmp0YvrQija4sMfRPiG83WHu9J6EgcJFqWO3qy1f
PikVVBs2kbcdHNbNjCi3T1zP4SccXAn4y0B3o4lmkMm5SUAWPCUEX6+rmtAdvK/Q32fJuDzAC87e
yNhQMCi91oJ6FcV8/AvjxPRhuOtMindj9Ipv2FrTI40r+Ul1NoRE1gjFzhx+8jHkX2aDb+GhG43g
vQ1YS6ywKpbHGY4udcJKbB2fH6plFBA6AP7keKo6C1M6a/HwgS6h8jgQJ4DRgrNvTtPohnmtOqUg
C8ne0oezZsE1/BprIQ8LLiWWHIqHAXg3v8rkFLXS3JXm4l6mueezeTaMt6zPmhugGsVDM2t9hN/s
hqNYfRdNx8wj474+JVXPJ0ECgfiAvpwc8kZVa7PmlAYZNIDfiKl5aK2mu3Ur4aygaP34Y6FAbiXh
JspajKdRYW6ctPExDs9Yx4ARSaqBY7p87bSbt1ibl5rSIgFsp5YS5lcZFdmPQffWakS5JSVTwSwR
SX8ASNnsiAy8lr0I2HMiPl0QkGUWdnwuCcEE2ZTmQ7BFI+bLaN3bI2AIs47vfWn+6vHOHgJzJiE1
CL/67JwRhmc8sw5v/DTc+H1pXzkebCKz83bCj4YTPKsde9Y3Nc7xwdLMmJKD9mLMuvTGMpf5si6l
s0VX89dVH8XrUq9W+bwMT5SD3YJkE1c1lW6IRFolOmPSz8T0GnY6pFmuCJZxVZ+56qO/xN/WhKmh
19j1Cf66pQCx9xrJHp/p7DhHnQshC2CWJb1tHZjPR9+Om5c8GHeYKkG8O05z7EPhs8NInJPNivJU
F+9CQ1Od0HrwfWpfJw1UzU2z1fbBq7ylt6G2f6gdH5hJWYlx/CGi8TwsoHK4Q3BfGWfrFFcQcCtN
cPU1y3VWJmE0hnmO8cEkRDzRLiOXgUJdOLC4Iqyd6q1qRzC92fKad4+Uabpba65vpcMAaRslUVyN
ljV8GLMaNhun3r0bjN7q36IhMbRlhOhzU3MHYPV/MA2pNAku8YiTaeui39G8VOFeKKaYhiny7duq
A3v0b2FWh05OUwaKbRcHaxCzRrOyQqPa2xrpQihcPfmlNV32SZPvGhfO6X+vyvM/FSphmUT0XBuB
5D+Xg1bvXQ917d04vf/t6r38jN//SRn6+1f4XR0yzN80PkLLQwhAnqO9Vn+Xh7zfXDYOJpi9wDEp
W5B4lf7wZVmaSUEnAsEevIqm8yd5SP5GoZC2awlUIpdgyr8iDyEA/XMCxCM2y1fx0E1sTJokFv/i
iqx6LsjRbH2FQjr3jd5OJDmtoUg9ZMSwzBq8YRSXk52KnWpTNHgILkhwqNcMEOGlW0BgvihieqZX
dgIZZUUskQ/UKFiwGlwb3h3Ckc8cNcE24QgudrGjMZd5VIVHFDUiWM6CdTzOK1qL+wjAutmPIfQC
iN6Wg9CBswGwjZ+ZIGvVeFKOrC8Gm/HBWehA8+Mb/BgjrnI/ILspH4kyRFs7TLAHBLTUMMFRNhVD
DSrHIxU0QLuKOKKGkV0OJ8PMhWJHe054MxhRThVYWYUbkKaxno/no2e66Y89OMQ5XQchI8FjPMz9
cud79Xy39PGD9GZzS2ORL9bs0DhsIBR1uxGzxHshk77fwLyAndm4NVkNgXtmWfGGtWi3zItJ7wmT
1L80RRreYQYrdxX30dsmmjHBUgHGnp2VGhrMrPnCLta5Df3xy9Ws6cNCwSGOATXcwlNO7qIRSrHQ
vGK3Q8oONcNYjAzcUQ/3UGrC8ZCwmt9hXQF8XJ0hyHxzAJELv+zugHQ0O9Di2dG26C8wK/reV83I
DgT4AF1ylcyyy4aJEREdRDeyCVIRaHajC2BBQGcG/Cp39hnZLJxRXNEaBcg5tWA6d5ruHOeNboaX
XzjIID9rBnSoadCq1HyDdFQbJ2iOTlTcEe/0bjpp90dergMkq+KF5M6MRj/c9UWbbHk0MQm3WGJ8
l+IqkBO8ZT01XlK8i2/fJz5qNu28Y7wmci7Lhf0pTquDvov99HAJxIWNeL/Js6C7bLtmqPmv0ZBs
QR8En4WWNj1WOcdcI7VzDddm59nvAh9Nf+VwET/JJrNO0RI9WbXhr3R/YJPr4IiGdvfpiNPDOrO8
M431DmfVXlfmNBCXqpiJlkg51875dNPnHL3Z/oXQbScqhYxPN8RHQL3pge7P9jWpO+9K1dS+ludm
EEuXhLBHme9cXRwCQSQ44u7QuzldLJJF0QAg374f6RyJz+0jXYgDas4aWqinnp7IIpa3suD0oay+
+gzPEwUZmHCXxJwuFF6do6gzYp0eRcLzVOLqAQVwDrNK1Omf+FQxwbA9f630UNPF9HpBiop3KbZk
lk78D+0W2U9znojm83Q0nyelwZvnrcwYACw9SPk8xFxIk5D5CsL/JmKPF1+EkOk3Ug9isM9+XBC7
kDMY0mQzM68VenQzR2fYeRzRBJsY7Hw94sXnaS+bbXjYbY7nTOpxMLEgxSQNwpWNSPNgpmNzU50H
SD1KksB2L5WZWjtRmMmp0yOnY09oFjCylR5HlR5Mw6Cggu88rTJYUH9g99GNayOEaYfOKiKVehR6
1A3PU294noCB7zINu3owhnm1JX/CrEx9RHnszhO0qYfp5DxXIz0zY1nDz0Ih7S5KU+ZvWmPzU4fn
AiojCmdUZeE1udhm24500/a4P/Y2t7Ndl8NZiyPs2PyIQxLs+F/ZusEKv8moFH7iOpAcKkI06JWq
ohxtqPP2UmHU3bKaw0yiAhioRYnSIjFFHIaZJrcgFHgsWGr6RxUv8irDwI+Cill+zkVFZqZ1Xihc
5DrJlP882Hb56OLKwgknme1nw8XRsbhfHQwFQvR8gxBv8JaT3dtMU7w8W42Md1ZfogEtJNQKJTdJ
heYfGkm1i+Rsrh2Dagb4XC7evppwBZy9dO+2znI5LyFoGLEk8zaZBBTpXFofXUfOPkto0QY1E3zk
VKtHawNiyoG3iUtbuIx2mcNHlpc+U5+NJh1xSilqv1Cm1kYhcE/5WRTq5vnUek7jiEW0EJK28xLk
p78Q8gtVMWwt24/XRCndu2IKqlcZ+vXK78bg0uCWuE7qyLlYrOCrKKYjWYzmsjGS8gq2TSdYr5vm
DUW2nETDE2jt6UT4hpdoxk3Q6W3gPIMFobL0PpLQesnokNj2+eicUss5UN4RTSzYidmBBchCHHZ9
iXuOjDqZOG+nDMf48MA6r0LuLcRynJR1iLkc6sRGBub1u/aWZW0VjgWXNw8C6mL4D0GLPxoZihzC
1Hvt85xg8DE/WXHk+7Sux33e5faz5Vg49WLICqUXW4fOKi/rTPWbZrEPIynGZ/B49MbI2CFCFFMC
4vrNRWYOW3uiHNGefNpqY8G9XfYx5aQEejY+qfXttBDWs6CHEw13gqukcf2dCRVj1Y2G3LrD2N4b
IuZ+gHa085SbHQNVm3sf+CwxA2jI3sjLM52iJ4hrsH4obGlo4/TGx65CYA9Dvln44h3rKvVMrUVx
G+YyvoHI6K/HDM5w7ZnNTtC1QuW3r7AzczkgPcPbyC+ne6/pSFNQd9MsXvccNMN3KJEKs7qY75WH
44LSDjrm0nROr1vKRtZeUlYHJxPEWifqbkgl3vWZ3dxwvcxp8MuIUjW3KkyhQAIEXPtxND6VwISv
uzLsL+HhDZtpjLaN18iruIBJiiNFYv3w+6W7SNuiR5edBVApKufSAGhBPyXfY5wlh36mGw/i3MZw
+5vI9qY1TGtvw4Gb5TjBKdWgZMoryLSjtVmyug9sZCtKtoybMnJ1LsT9EhWbPBTONW14YqVYfz80
8VhiNp6aB1E0HlW2ZM9cBbeT1nvumhSNwhXKO+5gPp9jwiUPsrUZRAb/Ex/wHmOvC7CqZNeR5aUu
VsbRdKHMGgZwUWuMMJdZ+3J24CGowb1xM8TSoAvvW2u8zB0u+FVCZ11j45pUdf/tSqwRVRJd4SP7
cY1q5Q9gD117xL+tEBw7JzHeBgKPj1hk/OccC4vp+TS3aK8fZag9U5rH/bGebaB/HEXCD6Gf5jrh
6sXB1k2MGJaI36xSl+ANTRLwAvrqXUlQQNM0b90UfwbWj0snpj62a0CDkm5Vx0JBBoF4+KwgGW7h
fLOwG3Puk1MNJIOk4xocQbnLhxYXNFzk7kK0hVwtIGIwP3nUjlgyvaO3yHlLsF/fjmGpftIo+4oW
KmkyP+lu28HgFc5bggkNvkEQduo0LZO4Xdq6ZWUVgUtokxI8eWjfg0AN+LkU7dPsxqwiWo+Cb8Ax
wBzrbJdD1AXxweNE/OIAGixGWk+641iAnGRjXSISAGil9EOuCoOoMevYd4au6r6zlnbPZ1hsCxkN
PJgLcgXWB+1OgnTJs7xbYANpszhtRFaWthvWx4Cjrcm9cSgraTam7NxNlojgzvXQZYGsIqzbMKFu
HdMpPuywN15Tu1x2Xpd517VLM1VWYrAY20T86vP00GWalhXU1pewxuRkemyTVRAPuGUBOrRNjivS
RwQGu6zqQRtQsmJv1/N4KIqBe0o12gKzWrLcUd7TvWJD5yNsBmrL3b++x5oZP3XhMLMTJCQYTXW0
jRTkXsqnd1E8BM9ZDA6jqEJ20HY7sTkCE0skArEM7/k+zBhViazzmBmTwTTRB+JADu/QiitKmTHT
Lf3OX0Z3HdBZvZHdWVK24203jvs4SMWvqB3SV5jku94p1ENnIA1YyntXwK03PUroylsCrlCmX3FI
wvgWgEu4Zm48XiQrxwroQ3aY34bGae9CKiFm9nSWvy9Z/BzMqbY0d9iC1lpPG4KVBee6PePonPnv
G2aCi8oJg7ssF4xfhvvZUprAZzX/CWZZ0zcPVi0TTr7vkw7/OQ3xd22rl6KJXx0Tb/6eQnA84VxP
uwyi35pXq7GzSLnd4pBeS3f0OA4676IpBNcHmsXYJZKDdznFA3X05iDYOE0zrisSI4+awM+pVVjE
KSKrx7NWDl9+vWTo3GV9VQUzI8cA1g3raVC9oRiZPyUfIoJsQbtKQSMRrXeMrYoAA+U+iw1aGB65
t1QgAwU0pSzfpn3o73j87NelJRvcquqZ4Y8aHmwJr1Te6CaxCWj20PdQgHIH2stoAmDKJSFohj9m
UWkST8nM+dSwc9rQ6KKuyjmqP23DrR0mtch+t8e2ebYsn9KaSeYvZiQgZbf+5HCWzd11DhR4J7kx
bYi5RiCuBUMR8eFDOmB4vFhSTz4m/ph/NBZV3GMaRoeytduF8jR7OYSyrt7MabSPQSNtWg9EDRsX
XW0z5vWzlVOdS6zy1W5Z6SUeFyjLYI2IWyTZxrgf4Pijyw9hja81rxomz1q2ZENak7Svkj+hMVhc
zpZkWpHMrJ6TMnZ4p/kNIKbStSmMKqxr26m3GM2AdydVBumZhSTsiqhfmdhZ94H0XurS5WcHDu7F
mGyIT82SvNl2bWxzuw5v/b5CYKtq6xdN1vnO7qR298MRKFua1+xMqSPXzHglEgxgw9wlpzykUpod
dwKtgrtFDwS5jnauLPJrJzT9oyzqV4K26TOu6PoXAaz1QF/5wRXTicQMy5omg65QZXgr6OfyX0zD
tn8Bxu0QZJvCP9lYMfYLxSFMpjbVGwgll1LyT3m1Fpu6WdI3Op3itddAnCmbGqe4y54dVJe1611Q
gVFK1EGheJ4cW6hVnjXc6vPMem6D+uDmYnwYgJfkgCFe+9zFzF0I5H+jcKq3LsR4LOlqRS2AEhRW
9N5Jr/xs+cBuJ+lRCE/p9m1cyJ1V+M7aG5PpUpUVwoVsahAWpQceEwxNuwptYj2hx8azU0zlburQ
emwgauhqJfXjGERC6qJQVy5FU89ZPw9XUkbdbTWwgDNKUO+ehr7nGv/eahC80WsmfEiWDWlFo+JT
DY3nDTc8BgkgeZk2zTvZ4P4OtO5yh/E6MNd54Me3vkbQN1UZontoLj3wO2TzHvjqba/B9Zh5jpg+
mqtWQ+0LFhuXrQbd2xp5rzT8PrbB4PsaiJ+d0fgakj9pXP6oAOd7yl+Qskt/3fFeLjReH8QMcCxK
VzyN3s9zrZwwV9HtpvH8KhfuSSqQ/dgmH5NQiZPZD8YXPyr4/pHPRirX0P9J4/8lt6c7+izpBKjK
YDB3LMz9LUJ/w7p+Ni5UJmqiM1a+zrwuvF50zUAyxRXDq+4e8BKoVaUuJCjP3QQQj/J7mAvpVdco
fxePLscYoabP+NxsAKVQbblcye1SU3xgnTsQSBYy7qIND9c2tzQTO6Tvvo4gqPCnMikyM+pGBfL5
OEUwMDFlRXES41mfxAU7arjX7bmVoTF9hDCaGtxk4nVOdUNtBZLN9pxtrMbNv7xzxwNV7dNtqIsf
xJRGL73Tp1eJZ3Rrm7vea+WNrxN0SCAoGgOxxPOeAwOXNFumZAxsSgt0QOTcO9GfOygCVzXvXsLr
lf0oh8UFFvNo7+nqCleAXmG7qBstiqrRvXu66KLWlReYtarPtqMGg78Nb3hLB+dFqmsyIIKArAP2
gg2I1hEiRuE83ta6XKOLG3ow/WbmjRuGV0MECGcVtV10GznOsUyIH82pSdTISuEfMDasvXOXB41g
4UsD9mEH3YBv0de1H3URN8cRanfyeyL1v81R+T9Va7d1Kv6/FNqrYuD5e//627Zq3/O/fX3/7fp9
BHvzT4L7//8yf1fbqbfFVhkQd8J3C3/57ylozJj8uaN1eMf08GXqRP4fajvhacux4TUKBHdfeIST
/0hBW79BcmYxAJOKw5kc9L+ktv9Va+frexC0aH522ek5JrL+nw27/1gMmXZnX5FFgbAY1OLgzjaB
uzr5avRuSAa81okrEuzXW6OmjMSh1pukP/08/wP3sPXP9mGcoXw3qP/CRWkgSHTmO//JPvyPRVPt
2BBuPfXFR/JdZYF5cIldrSu9aZolPj+B25spEXjHsIixQcdMYB23AAotAcml6VjgOrX5M2d4KfvY
zo7/9bfqncFf/+BUaRcrf+aalktWJPAd6y/QTbuiU9kr0NCZz0go5d29adC9IVtQl6OBYGUoHFra
ypBwbpE8COj5EQUO0QgRFyjTKJBYuEBwOhH40r6IEoNExgvpotGeCdGBq8m1j8LSjoqhzKo9vSS2
B2XErO4Gc7A3HXcuFpQVMBNMjLtBMhFCQSxXWADh1amRdXFGi7FtFxgMMxHu5JjNGLLytzAbKARh
NAIRzcVZBVJVm0SWw4vS9pBKG0WiBV/ToigQqmOWGLKcnuapYHuAroKdJcGdA/TO4QVvZtgdxhFy
ISJIhOne/Olscj4UGFDgQ4pmJbRdpZ1Us2N8am6UNrIQmMXTIoxm/gQHzumCPFRcMI3zQ/Oy7gL2
RHTta2tMAc5hFma66+Xw0Lc+2cTJ48XcdiHwxohg/c2k3TUEKKcrNBzzgP+i3vBzpBl6zOlYqP2T
ksFXMqGiYa6ltrDFsTMHVfJpizTYeP1g4q2TnLKMSdDV+K2Qt9x0C5+JPkzDdZyM45Fl0toJWn+N
wZkhQpuFvK50TrFIeyR1rGsISt6eu0K4U4X+KdmIOg0NYDcZUJIV7OcBQmRlvEVlVa6p6LDpAO9R
CzRna3ZamoYXkj08X9N7qV1NwO3Ko8EJep/2S3HMqEejoZMpiNURcaZxsPbGADOUa2tHb201ELfG
O7IwU08po7Mhut2U+8hf6IaIfaI0dzVmwdsyKSA3pz6GIw8fwtrt2NoXY0MXiyut02KpdI0v8SPK
K3b/ph88IWdv63LK9gp/Lhax8obBXBzDRY2Eb50AIab1XrmXirWTewlOP5IsGJpO6cLvVSw55W5j
dIXh8CObaP29iPzRWodVZdNvQA8CglI7XEYwYbipTtg+4bHJdZGHLQM0kHIzH5t7Vw9gQS8aIG2Z
7ogqAA0YrC5vDSyWKxsxdBOV6ZdMO4JMTePvLGbP40yOeIXmeh8a8tOmUIbEKuHNyejvioxyc+yv
/sMQA5+yPcg/CrwTF6V4IG6ehCdP9AqvQCDfFtvihidUy1g54fCN2+qyHWe5F9ygds3M1CejpdqD
vU6JWChyZhM53HEYb6g5hdycRMtLxvX5MuqDadvj2AQv52MPjLBg8uOH+NQCkbIRaj1lZZdso/Cg
m9zEZrMv1iPmlDcSt/VB4K0wKzQ/wh5sURJKdLi2wnNx682M0H/sJ4QWUh75zo9wKaZQl7QqYO6H
tMbj1vJmt+LJ3w+JSDfK76BCcGvH4xVe0XN1krCdMD0XlrkFC+ZckqzmwebdQVTSbe+GJv6accC/
LJin1qZbuLCfYLIp+qwPkWoZ/GMaUrjZMbKQKLzM0vm9qKLlDsRGdcpArW3YnfHI4WLB+rsUD12U
KPDBVbWrk2UfTKa6nwe7RgTj/5uFxXCZGP28VYavnpXJ1Y4VIKxU7bvJjP/H3pkkZ46cW3YrMs0h
gwNwwGH29AZ/37DvIsgJLCJIom8d/bZqCbWxOmBIlREhZabepEY1kFlKSpJ/A8C/5t5z+YDKaPqS
jWjjjEAgVM3Dlw4L7JlLU55lRdJQTd7TkfjF5lvJ2IRpUrkb+o64KjxuGx9z8V2qR70tO+ZHcTyy
W9XSW2knZysoh8desEer8/hLwgTVzkDPzTrayknoq3rEvl5IXaFP699qF8J0mL4X6E/3auxv6zh/
HsrZ3gyjlXxTLS1Yzk79+CFL5sGF07VIt9Sw9Z6uR9HAghjmIi022rKyvSlQ0wFJ3+E6n1hxyre5
CS7SXg/31lCG297o3/0Q43soen1XMos8F2VWftVNEJ8LNFIrh3V3mef+hRkO8ikM0vp1TFEZzwhP
dmHshZvKH+f16GM7kCRrE5nC4NEE1r4J9SWQK/8mbs3gk9mgFutFaK9VNt/laWocfc+/y4wZi+BU
rQGIMz+PxJsXWs/LGmvVIfxd6dHfezX1fCG9x6nwn4u6YDonRmNV0dKviwj9roGTMPXzYzlb3OHu
NO892LikVdr0N3N8Zn9Ndo6SrIFDJMsQgt+z0CQLkEjBdUrZvK5gsHEW9V/r0DzZHFIYQhxuSB4m
AIQqvsU6/VrUSJYqwrk2ZGRFK89tvG01N8310Gh1qqJKbUEHwPsYWE0ZpGpd4QZU68bKgj1YWPsi
ZKZxUtOc7pxZN3cz695bieqm6712ZVfkGqSkZd024Nt2eeDgCWEocjE65mEkJWGn6/EiwKQNAc+M
t2AMWQs55pZUX1ZUeXqrqmog5tKOLxJUxNCPnBIPprDXfge2v1EMaFM37naQVJytMYUOtgi8KoNn
kYzjjBGdfEXazRR9mQcSs1qd92ekADPCaY9vIfY+ZaPxLO34SyQMJqsl85htnNrXBPrsgWS7m64w
FeQbsuLOhkhTZnROcBVoGCIZiUjHyqDYmnrNgi8uI+NliNrwhNvkYrLR3k59Bvwh7ojMkXBamkVW
Wib1znXGaQvWxkbMn8tPOQXIyhVohdCgT6xqOhRsA0Orz13VtWSBu59tsyJInmfVIRJptsGevuvJ
GQFwi6scdqbehYtO05SheS6CIbl2B0c/YtpM4GuzM1pFHzJPbAPduhwQ0VXFvYk2/VDlY7KvXcb/
7SIUTRbJqLmIR+1FRhouglKStlGmsQXsbxCc+PuQFQpGZyee/7+26TsR6mGq3v7+Vx6kRdtMd2+4
jn7yrFlLxfz7sqatrr78gpf6+InvjdWSkCMWuBTkNNZyS3jwP9OIhcLkxjHF1WU7JM0uZrrf2qrF
G4fkyIcq4YsfPG6W9zc8WCYYJumy5pPif+RxY3/9ayvD36EncBzSeCzUkNaCY/uhlQHxp5nlEkcM
06q/jTyHFBHtQ3DZjK2vBw6nWbAzmKZ5K4CTXwSxnPdqsHBj+VYWPgeQ++w9Kxmba1fNU/qJ4c/M
6toqANPgoUMY2Nt296VDTMXgthYE4TX2VDJGrUjCZQIpO3cn4tlqACkGPsc/o2LUgaGw92Meu/2W
gZXU+7lfxLHjXCOSstzazMDAsHvGHm94EvBl3m9iIB6gJAWrQsOKKBEii/TVjVknxJ2wPUazPycA
bDYLa/cxcqe6WIcgaRvKdVm82wRbMNwjULC+ikVcPysrdcW5ZRy0D6JmpDkYkPYuPLcyWyMUYVjM
1GXutmSIWNmmQqdgbfklPE1Ch1RDjMp3rOxykI5jNT0bVmmGm1Fzkt/PNbKEXQK/ygU4OwwTmpok
foiFCxjAzeKBIVk40Suqhs+R6WURbXQ71uMLP20s7KSxHx4iHzjSLdEBFczDQJqgl7AD3SV5LeQl
dvh82tm4BUhqm30Dk74O6ueWlr0jro7FKa67vnklozXw7iOidOiPpKzmg0LZCekGWBEWHER9uwi9
FytfkmLnm84WNR6immS9laxJPl3NsWDe6rQkC0rsRmChCs+74sSr7TuP/iTegIXlXbSJVT2X1GPI
bQZsOmzuJMrmMGpPVTtD22DFGo30OlPjcHT2Y33VRnBwQYYT27lRoV8vEKferI+Z6yJiss18PnkW
WiC8T5n6TEth+Zu+dwBc2bKLPkWFF3g4SarU2UqGl/oIXAfICjL0vH4e4jx5J2gX2GBZOKF4LWUz
Mk+P5mTd0fpwGFuF8wXFBV+SsiQcs0C3LB9bBWJ0q3WH47HhnqIAKWUYPVYyHb5yiHToEdCKLQtL
9pQEyKIkWktm5dY1uQv8snAkGJNysdSsiJqpCNkzxEbDNr/mjfHpwmcJzuVYk2WBjkURKOf7403h
L6ug2ht64x6gl3KOyhDcbK1QMws8ZtHY6yeRRRvRjOPNaJnpRKr1x63YghmIIzbuPb+iApI4viAW
ks4hMia4pqsysscyXLc2wqRXJ7UzaEmt341GQ752/IFFYM/rPzGXdUcHMMHIH579sXqGptwChkqR
4uy+X66zVQfycyc6vvTcIE+TDmW56Jg2kkKrqt6Er6HnoriIUnZmK9vN0nadaKgZZCwh2MM6yUXf
h5LVi0J/VjgDVN1wYgtUYXL5B08ljibn+d+iVEZjcJjSB+VrktJU/z5GhdkmWrC8eA+7sdnMheWG
O9fI0ysvszx4LymA+h00c5aasLVtvZpNOfxHwJQiDMuXITP9M6m8sQ2L5mdMCiK87OmDkFLjbriU
7NQh0YdVcsMUpep+BKOMkxc9LkwUQgAbwTeFBRNTBca+W2UNXQc7eoAt14SUb3w+VIGQWLpYrH8A
meiAte069cN4ca8u+BLhTXf/CbmEdCj8v41iYVi1g9x8YEumKkpH+itFwtWf0UqUKNFTzDIwEmjH
sjCO2KqDT2Oa3HfzHyFKUn9IkXt2tFkoyFZM62298ZaM9tnhhv7BiFZWcKDWDOK5cwGikD05p8hL
TJlF712J04EnNsgxrIJocpNK13vTZ7z13X6GistPt8O/d54ldZ5c/IvrbAaNZWx+33AWx4bLLheN
4H091C5OorD+p8/Mw/Os1r/Yy0zN5JInCW38/zWVWY6qD1nhzS/9VAD56qwuB2RRseEMzaT8ytGY
NCTLtvGBUPD28DFsCWf2KARZsl48xQ517iHLEwRefcc3tgK00L8ahNe8oQ16RznXXP42NZkcP3hW
JNi+4AobyBfX1VdyN0nbTaYYy7EZgEYKl0kIEfOS+VPqe2csVol//m3gActypKhHbPTGGEC/f0w3
eMIjVVW0e1dIvdtvv80wmkGAwymD2bvoCmeu2KMSuQrKT91W1uR9AZFa3yaGG9/xwMy3vw0lWhUJ
njZVcKmydP6mzVl86uYwxRWpwW57Dru5CYJjYQLuzd0q7J/bIC54fhBhpq+IwZgf5ryy6cVSBV+p
1Q2SrdSW0n8uqcjClUUONloh5lgYxONG4ZxM+ukyKgP3OUVYeFXChfZXsy2LAe2QABriU+e/MyB0
GFcNlX5iyMrZ36sUwWYcz7BnrGAuV1HcWjtMLT1wv5Y1MCctrkWyCAvb20HEgxzDaZAiY2t7d9cS
ZnR2ZNGTLIyiaq9ZPNNZej3xqWVdtubtVCp9aNtcvuVJWJ7miIf7Sto2io1MwIvcR8KDhDdbU5xv
MQV2DvoTvgP12Pti0kSodrgoWfPTtK9CNuafrZoXDfJbJnIDKd51DgHjQVasuo/0liIoJX2Um2sj
RAGBC4KQ8WYtgYu7QTGG2pA54dPkGVa9wcvT7gbmncQ3V/BkOO4qWFjC8JAwMxvOwVBqv7sA/9HB
qQka3aEOslzjbvBilEJl73vA4Dg3lzWvyMRLGTvipbO9abzBxWQSnOM41V7GlELgtMzeBBDT19G2
mfuqu3GplOILEYwCFF8wWe0plJ1Pf87jPL3wE1+T1+5Ut5zIqj85JFERo0zVgeUtizm5pqaqXpGu
S6Yb9KXWPh0Zf+wQIEDhynxhH+wEnOE+6VsT5amPprGfFfviYZAuSd62SdUK2sEVtxkjLkGwXN/f
yAHZHco+Ue07O/XPebX4CC0KPE1XO5iHCW0EOiQjds9TgNZuHadjcrCDMLmzupFz1akc+U5xdOXm
iWDao63aOwlbjwGTghm+kF+BI+OSJOF5Z6BXPw9paZ9zrSoHc1qAwoomOXXOZT5y/RsmE3eCnQem
TxF1xrNXhYHCtznUV2QImXLdj+WtEyCN3pidiSuRtQVFx0i2a7sJDEqxRXI6MW9JCYLFaOTIbR4u
joaZMuBLg0nzPktmjmVmEellIzr3LRQehk4D4XQgqbbwXrvGVZrlINpE6DMJjDJ+PiCWS4Bkrgac
0cCYUESSdcNUpkSMBnY2djFoa8lFWhRlx+ykj/HxyXwomEOZc13vLYY85FvN0rgwgRrUUB8A7Z9o
fFpM4XYXP4EVwr8RLuE+Q046RSwdJpFDFKunmqzhnBfNs2eN/6w6Jn1knyw8a9UaOPpS1jCqpr8A
2/6kqqS4WEIpembk+NSQ2SXehdtLvwEK2zmPdpuWzww+SEJo/eSFdRDFvGC7/mq1or5VNVkQvOOI
gTT9vH0sLFsPR5CwRYrSpDNfAh0Cvieuip+LMjFaF1OaPiWhrVhR+3ONoGYeSnVo1UD6hoOe2KBV
CaC/I0t8t+UQn/Gfj6ytPZbjtmovfF2UCQixrAM2GOE62XS+wXCS6k/jy7Ts+VMkmvmpExMR8+Qf
zPde33h6G/m5fc5kGr9adlASqT6O6mZQXGGINB2xBvmqt1I0iK4J5NaHxgqbe8pv4BDc/siJh/hQ
wYNL11EJ05UPPr304QIjPDaabYUd4RhV0Ssz7QqFYDweuekGsc4UeAkshgxXZGswdIkDgHNYEm+d
WCZvDRPedxgbqB99CIH+CAMynEBKeJyvG8szwMXLYlbkrjcoQVxu37dgIOJxVdGyfG67sKjWZTRH
9qZA4FbvMUR4z6iHYBG4Gk2YsXz0ahAu/71EWX/dL/s9CxH9TqVILNB2lM0qG3sjXdsQDA695WD4
bONxz2FJPAE9pWLRAVYfH2m1cs3xhtmQ3id+84npePgIHdw9Ww0Rc7FpW4c5Hw9Ub9M1Qgfrs6yG
CuRkPURn8tRne4slHmbdZBU3lmE3YBCY6Ib70Rm74zihMI0m0T+OmfAYr1PA16iHy1z217q12EMG
yIcv5sx7LUdhgIALIpNblCn3WRVxcmj7mXskCMGhwLy11CkuR+vI6fPGpi18ZSfWH6aI0ArFQ7Vg
Nm2gBEm8xt74Hlu7dSsTX6zbrI3ueEpml7nqcuwBMfkYWcXVyVnvF+HKtn1/N0yJi6iQaIROhwl7
UTiuvmmjpKTxwwTfNzdEhBbYHQeQgnP2hsnd38GLNJAI2tnZSQzrAEJ4HXOgOdsaU+2bSip7G3u6
vvYz+K2wBYgm2iEI7uU+Sov2yim1vsW5nO69ShinhsiubNlXIo7oPCA2dCGwapqWNTJztdneZUZO
fR1o1E+JKpOT2Qb9raWLL3NYjSfKi/aQTm5zkXWeucJC4FyTDpo9gTfu6+2IPoyzmYP+05CM0z6S
ARpESH4tGG8/HnZM67mWuD6PAYsA+zAWg/+VpPmS1E2z5cu3g35VNREMRjFkAeKZuDb9LVzw/j1D
mHWFk5z7Pm79NFo1VZwib3enr97gZNdsMqruJF3Z32jP4CaKrJnHvTEnzas5Rg0Fc9rO+MZb+1PT
0hM6TSeKfep549cgLZRgCddL7t6J3S1uEsiNXMYzNXnjQO9GZ9TdoyJj0k6hzjwcQNzarohO4UQ0
5bayi8jZ6s7pd3VgPTt1Lc5FUsbrHIfOTuIrc3cj/mRzNNEV9l6xZv05nqPACI8j/ccqbQ2sqCgt
4UwkLd5TJJLHekKnQy5cMUHst8XjyLIWJIzhSjZnLa95dIX4hOoxaOEokbMnej+9gTRYv8iwcDO6
c10+TGPwgMKlBTrqes1xgP2BcyF1uuQB/1suAbB25hKhkgw3sdMbwTUIIDAHTe8/wT4hnc41h/2k
Q0KeAMg6Lt2KOW3qMcnuqAdZcg42OxlPyOZrKovmS5ciVqV+679Bk0My1dnzlojBbN/nmbOn8jSw
ovuDcxp7PCaMxo0rDsD6awca6iaSITmRbGdpwebBurRo/cu9QbbuccBSdSxpkm7zvt95XqbmDVu1
7CsD82pac/T6R4bZ59RWZMM0QXQQTs6DopujA7oqjj+K9Y40xk69NYM56bX0aNo2rTcRUtm7EB/3
IzaZW4S43ecaU9Kh7CCR3ExNOu3KqH3hOM7vE3bwbL3y7AZXw7Hj3e47tr94SNy0e3MGPHinmT2x
eQo9yCjbOh+Nl7mR9WeVt1dVYuXbkuHnerS9+HMMeeGuaUilk3NqMUCDK+WzlzsYYce80DPuy8AB
yMOobDpQM/uIvW0YkKzGQja0g5tf9B3SV9rJAkpd4L4YeSwQX+GuSfiWWtAj7NndAGN4NEuSnqwl
EVKTx9NFjnGnMUseqXkkt4J9J7yuOzH0CwnhNLBHGoZzGTjtdFGSwxttrXnJ2fO1jXNjVgLngocA
4MpsfKD3HZXdoEEzbrvUKM8syyHO9VXx4kU2NVw2vYsc/34Nnu/JyuyOwgpDZuvL5ATtsbkE0ule
WV72OBtU/0VfvBI1Yz5IrbmDAO4V12iBESmP+ql1kH5fGKpon/ASGae6UO2zKsyAUE8wwdZNQh2B
pE4qhIG915nZpg26BGY/XAPGXUMcinlV5Q7vkVFfUd/EMwnfG48VfLSJzFo/eDksBRTytC+raZkE
BU6MKSSyewaXNYZE2IFtaUK3yQzzcSJ1Z4Mvkl1JiGbvbKChYEIcR3ArnCF/4MRt+p1bxNRSJctC
kgOJ4wqPeAL7nPSWhqzlti2DCCgrRdUqUukQb1GhjdUFlQlJP3Xb8JgZHY+mi+9UMXyKcijFP8z3
/436599NzCUrIQpKNJBk1f88Ma9JOiMTzX9Trjchle1MeZhmsjrXU4lo1ym7gAjuoJmuvNSoPv/x
3/45WA/LMQk2vgWg0cdW6Smm/z9N65Xb61qU8xdAF8Vl7OPkw3SZQLJtu00s6u5Q2ll3ZwQpPt2k
M8zvO6DfjcUU//L3XY+ZwdJ6OMrzPPOXbcGguiaMarb4LKJhoRShMcwHD5erjTcud/c04Ews/QEn
KFRnY+w2o9vPHaOCaemxO2B1eI4IXucTWkpiNmSMPknPhI4aS7YPa4zQAbtpk4ShjZ+jvrn740/w
X98CTHubDxHbMWcvVvCfP8IIB5QxugzDZ1NE0TZHDcwM1I/j6VuQO/ifKuUIk8PL5yoaDdP8miQJ
2aqNx4B2O0BfTda0LXWymWQ8pkd83lN27sowsPYysvLFqsvm9KachXJJ30ps4+JP3sLPWdxcBZRO
GEfZKmE/h1P5y7dgRK5gHu+QpAC4Dn9wEzHKN4rCMmGtwmHG6yDEIqZI+Y6iQvHhhplYPnpjHJ5I
a81JWmsMzN/i41swasPN/oSwuWgSqx91Z7xIJXxTUrhxm/A6f/6cbZvzwguwlLhVk/T7AHhbec77
kNdF7XHbRkP85qct6yZWvnzIH1eFX/pcJxYZPe42SkKgICMYL1whE86NP7mP7eUV/PgKSWbhs5Pc
ThZ2dMA3P7/CKpFz5keQ+fBecw3Y6ZSplyysq55tNXf4l7zmU9sMRgQkPbSskK1/aQFqDCe3JCnb
s0PCFrMqYKFlRXG2Yxemw80gNbm7siEPsEqWtRAjgUiuh3aynqQM3GblN5lLoIhO0O3XFNDjJs/p
OSiqa7U3VInJouFCeqd1Su6w9jB0jWuWJ2vQfAYwqUENt4OO3AdUDzLD/4iM+c+useU2+PnDsbEr
IVLgU3JQXv5CSGVxEVVBzVq/7bBD3H1/qGpL4yYUSA/cK84FdD1uzD4GRFszuUeMe3NGkms0kvNS
T61g+jGmlIdZXXAv6dFeIoqRdE/nPK7haK/aoXXVn4SAWssz8OdX7njcAI6JnoN/kr/c4Hg9Efaz
lyLnMBojssXVor5s4zlYx5R9YKRk6diXumnpCZsYBeJ59t0wPUmz4J8d+s5rFhhE2vsFK9p1IaRT
HTgH0gTewERyY+7inFq4npYG/9uxfVI5TqCzNaoypsgrsERtVNMl6kvl5ul8ZHCUfAb3bk4Pf/wo
+Pl57KE9RV2rXGe5jE0eS798S6CFQLH8YThQCEOFcsj5D3OBrJ9vc14BH7IruYFsGBjw35bT8of9
8Uy8C4kGOlnNUazLnRsKhzp4VoxFvm+l+Jg95+gHTvQ5Nkr0SlnULE9WEVrfZCSrYk0aMoRHi/ly
sLYyxq273B66lyLhHKeBDoKj0Q9BvZW+7+xhrGXVhhwVevBCzgaKp9wi2JyQcBAZf/zpLgCTHy4l
D10LOdoKzq10bQ/I4aJK/uHNycglSddtX2mu6kuGReQAgPLj1TPk8C9phLuAWALPPgVeGn2pTGyZ
Gw+sNsQApQJ7O/hFK1Yl6o5rcEOLAChJ7i3SECbWYkLew4ZLzm5XcNuYgSwSAD8WeBzTHMQlbieP
BCDB5F9N8O43VVGAW5i467a5XzV3TkA/t/7jd7yIDn59x0gVXAubMQ9tZAs/v+OMfJhMltlray+r
QZvFDW1QqZfxH6qEAuKfqsn9iIluyPpwjPeyZHRMW0Fn1tZ2NP6J1PoXfcLyFeAukIjMUSi4lu39
UvHAH4s5Z4jZhZfIvrPsKuMeoVYBXZYIhnoz2u702Nc9iC3MKkG8HeQEo933ixjLZtdiFhvYtSck
fkr/vYgUQlukhe6VZ6e22HVVmr83sWTbKqs6v+z6os7uzUGNtIjLjpYHTfVswZJ4kB0rByzS5gKM
Xf5X2F8V+wZgBN56Cvu4J4cHz/BOA0UMViUxmbhMNB0ouIgUryxeoWgz5UgWwfJqnBzBbMcksZYj
arwacitDI/qKiF85OIQP8hRpPxPtwC/LPpaoVk4e5KEgLvNgA0beKZQL9MIy6IIt2YxLr0O86gh1
K6vLTeHlPkG80FdRC8Dyv5iySjxqf2KoLUvaNyRLjZet+twH1VG5Yl1YIsNECFIRLlwGrQA7pIs/
ZxIdG7OPK+3/mX1j+UPfGPA2Mf2o/u//+scfXgLgfvovWwJR2+m2e1u0PRrg63//1/dyd/k3/9P/
8x/Zcd+VQl9e8xjwvm6b+Fv7rwwjm/Pm9+VC/6Qg/WX6y8Xb//5fPymNxAcDafn5f7gyBIhsLF6+
b4EsYkqheP4Mb7r9+18N72+U/5RWaH8XyJFFbfObeIjbZMmfQ82zqHt4Iv/Tk2H+zVSu75icirYy
AaD/TzwZv5ZPruLX4yjAgYiJGX/Bz48K0YGTdODG4AXT7tax+uQ4Ck34NhGomx8+o5vvh/dfmMnd
kH7U6r//dflVPx7py59yqNBc8vg41+1fCt6q5AwzfCKuMJrWm2moyCfyG/pkuxZ736jlRo8xd8zY
qj95/ng/n2+L1YOxsOM5Fi+BcvHX508XYk0UxKivuqHKd7qdJImcgb9NI7DNVBXpSTOmoLF/TQ3b
2cWsKjY6xLZPEpH7EpPiCcZMAJF2+U+U3Y+lWVM0BEQAyzG4cK3MWxV27B0nCDulq/PjMIXzvjKM
8TRk/SlTdbLFOYJXpI/qPTka8TZXxjNhqtknPQX+Qdapx7NEG8Ed2ohkF3kxUMXcfwwcf7pkk+Du
zNFOv7XK/uol4x0lD26IyfTYzJST/kJTxo5yGvJjZdNoY3XjHQhpHeJ4oEbzpsg9OJMiiqObhscs
ENUGvnh+cDrL3jqK6C5vll2GUd16BPy6ZAPU7rYyzWqlrdIDRwPjJm8JsmUzHV6xz2vJ4Au8XTm1
n4vYf01V4598H/3WH181Ah3drxcOtw7mJeE7liS18NdaUIZj3lUOE4eRUSnZBtK8NIMIEqnRYfcw
i/m9qpvqBY+xWoX+EqMo5FhdFtpLwYYslumuWRYkEdkYzmKpdszAeSBttaeqx4UQLdbrWbehXJsd
TJvJtfgIg5pti5osAgJna2P1WLjJxQ0PDPkZiy8Gb8oZcxvh+VZExp9sUuGPFQzA26hhM5MsJnEV
VPlWLcbxoI/f68VKrivrW7KYy/vFZt4uhvNxWqz1mEO3M+xMdz0Dwk6b6KWZDWPFcoAFXtSZ68Sr
nj3DaC6tyrIOjuenODOKkB49td1HjgjzMsV584hPyHrJUtNiFG/qtcfQe4tl1XlQYYPpRATJDo/R
29AOjJH75soCJQXTKDXuG9/9FnTd16FDkgBt7CgMciDgeKW3eF6MO2b99baIENKBVZ/W5Uzp0mVw
F+wpjjYx0PGH0vQvh0QKVpGivKtCsDlNk7pbjL8N1yf6HzqVfp+58aeZHKljHy5iZxvRMTHRDIv6
Nsafr/C/BtRkWM/dT0WHCr3pOchQBagzePvsTiSdeOghWwU843HWBEASNyBzgfDbBiZzkdQngVFh
K0AEHfouAjhZ4/RtHQTCxpz3jAZggyHDbUgqlPLEYStAyJIeHrvlfDmA3VgioHZj3vubAl2YWrkG
dFSqrU3Wm8Y1eJ7xqOjft1rW5qbxjP7EO4Ikk4gqWBtJIrYAXGDPTKl1KrmT0G+H7cGrrNcimaGY
9t5Vb9TDmYFmvyUROyd+XFl7a5DyluW+3rsMVAD/ZFH5pmx32CpTnqbQxWaVViZsNJY0tg1R12Vi
cWwZ+Ox1PFWY/A3PurZj1h4Wq2Ai40XsrZXLvEak3idy4/pV07jwxxZ4jqY4Pdi5JnbP6PnhoKbh
gn8hjyNTJGIzgfDUtfNp9LyvFcvDVZK6FuZURBOAX/MNzQUYH3g+bZqd8gXw4/cL68f1GG6NCwDI
sqeTCRHINRJ8814esoDr/TOavmrJPag+T3UqbyMRxps8xa9k+Jm19z6oQ8wwFTc8HttqgRLR0MMn
SmoHygdC/mTj1djurTlHBKTtHlHQB+Gop2/cNwv2KFgASOkHC0mnrv/VjKfsBtkfdt0UaFK04JPk
AlIaP5hKhB6Z52wBLbk1w5h8gS81cKXhm3sgmYAYFnu3h1Jp+Mj2NbHbKFmzKxgnMQhPsE4VizzR
NJCemgX6BGVW4I/3Xv1wkEifFjiUje5gBcWkeACHNTyNC0QqqsFJjQtYykhATCULbKpfsFMZNqFT
hIsaUq4gwMFbAFXZgqrqF2gVI1Qy1/oFZWXprjmXk4GJoPhgXWmZJkcELuEjYIHkOvigYoFrhZAV
hmjpmwWbFZhMnroFpaUXqBZHZ70DWxxcNYMmKG6ey/cMPq7+IOVmMHPdD3pu/kHSDV2YXVM3pS90
xjOytlwdnHpyuFMynV+5g79wohVK/w9Or4TY27b+ZbQgfN3IKA7NB9YXvm+/gH6zufQf42jQe7lg
gN1glljAoju7762LJuV6A1WQHE2NFKBEKndGZocOZcELO1HibMAxXg6FUC/CNPK98cEjdrHKQgQu
p3umkN630IJMPToChLEgO6gNsnDtKyR5NaTjYbDrp66djGkVs1dc4bHLNqREBRsIMtEXx5HTnbWg
k5EEhmtt2KyeaWx22YJY7hfY8izBLosEALNcUMw+IQNkt/kJzW0OkhV37njRf/Cb3QXlbNIV31oL
3hmbwitSXPtQNWQVeRmmzsJLqkORVFcDe+ItdQEP2dZQFyitSJvQzj2MC3WhLYOoBZql5tl2ayZe
TP23kHuIA1EqIggbVYcD+28TJ/VwFxNLcmsSEU6OhuZJJBDXISDKiLtmELNqLBuv2UCEnt/DG+rD
WxBR9jpXOBdqhaky94FBdIJb1Cnqfg37usSSEW8n20aY23h0OA15cyOY1mdoXO0uUROdSOy533JF
+ErqVfKpDlIQEn51RfTc1upibrOUWoWseri5KU84YeryJhhsfeN3tIgrHfjxKehb7zDIVG07owkP
TlVzEA31W4W+8zKGu3SsZ33dS3fP5PneYr6+93ycUBOch1OA0A7x0mxCGEwBCugKWn5kpO1NLkGx
KKoXVTXlLeob/EipNdn7IGkMlPCx+Mzi0dz6DJnvatTFn8KSxwMhhOMX9HfEdY5AhPzYNTEjOjXm
Qv7lzhmsatVX/bCmsraQwmsLyKRiyaIR9TVgQ4G9K7Iqe+bXHrslIODpSk9wmSudeuD57PLJ6iNz
hY13P1Iur7m4k2cFpHILE5ytqz0R81Cp+QbQhE3WUghyi0KBhBVUxUCuxvGAVFXvB5+Hb2433db0
hnmjbbbKYdyZO2Q09l1mJdaDL53nsrZfHa9wz8QgZg916LUHR6lD5WQNi+T6jF4fr203dDuNdgzT
tjIuwxH3JNQCJhvSQNU6DUDa0EltxsAgwI/BIcLmsOqeTQAhM6iDwF/06mALjbgm1x2LGIqk7AJ4
nuAIY8E46hIV8TRkRFMO7DUNYBWzSwKkmgkoDuzG+GoOgX2dFn7z2Ykj572uwUM6XDtHhi3BtZRW
fiWQya1CRnyXlqjIZ68Md6vagAiSIed7D0KfmXuusUrbqvTumGVXkOiZTaS6ra4az5H7njpgV3AE
YxeWZn/CapY9oI3pdnYyAWi0zTC4Jf413jcZG0Rsq9xcfT/f6L4friYM508oZG3cq2X4UEWoZELC
bLAi1S6uBbONtiQPTRe+mcO6gSi/8vtFeo8Q4Ux9ktyZpC7cxazYD1QaGP86uHFfUw01D8QYyXvA
JPRp5m55tvEodCuFqP1gwZHaWAR+cdk1QpIThxswHGUAwbQ0BwIhS32TMkdHP4xJ6dCFmXukIMhY
+nR8RJEvvmCJBmdb11XAnI5jsKv67mLWCWkNTEjk3oSFg9t4SnZt4zb3Kuv1zlmcdttmSLpvRieD
l6m3+xsrmLpXFdaEDMGfPEgA19cYbR0+fiJtTmSSpNvQmXxCUozyKs0VPM66I9DSgo2D+qgP8ZIr
WV1iMVA4Bmf3q455BAXZIG5qnAprR7ZU1MxU78Lh/1B3prmxY9eWnooHYLrYN38e8ILRh6RQryv9
IdSy52F/SM7pjeJNrL4jp52Z1x1cBRReAYlEGnkzLEUEybP3WutbOUibpmxPNgGtlpWupn0Nvdlf
+aOdEPHMBpv+O5doGeU8abxB4qXjhGmISIWsHBJ+qWV5B9vz/SrsQFVvmyHBn0uCJSJHktgfUVTg
zjOrAneWgbO/MbUuZMPPbFgaxRPvTcHlLPTzUIDkbPkgH93CRQemwPvI5S9ee2jk3qrGH7HO4tLE
h9tgosocCAItHndql2AQucmTRP7c5/40kyUcqgNccOc8Zb1GP2PZUDY6uc7GoRD0w4DOeqs77Fnh
QFQ8bAh+202uWyuMayaVxqT2JWiXs5f5NYc+nlRdPEa0BLbxZkacOZgunrCuJiwdDthFz/pCbyTE
74CHEicu6J3pCy3rTM1w8ou9wYD3CEBaYv/2eLzrpXf0ImWHZe8OwU0kTXU0Z+E9WxRZPxY4nC/t
hnR6zEP5QAApDolTWMeZsP0N61OO36SZniXZhxXRjv7gC+73q3yEQ6fbMyiqBK6OnZN4poGScVut
bIcxainTqxOajMsFZqvw3mXSmVc8fqy9US+dOvSiAlJ2Yb3LmFu7NI3lw4o0HaN71cKE9LtXQIGc
7zFy7mRuedV6YVfNsFI8J9RpsYAMbc14MJw5ouBhmVeINSRmad+TSbUb6rikH6Z07HuDXNVlksF7
0mt9KOkEZwm8okGxmcJ0XrgCKl0+pGPkHGycvQeC2GJTF3UNzJBkk7YK/DLaL8iRu9wdAhodAvdM
RofHMH9mhyMuFEPSVlggzPIuRgTcAXfkrj75H01FpUVeaOYNrmm6CKns2RVBQXifKkNVA7OkITS/
E0NDeZpxfIAig5gL3hDucsqjHr+vEa1zcOzMKQbMJQNkFdcO2lcH2L3Q/XkPBOzgg6vZQ2bCcYig
v6/rZtrimz+kERYvGj4pX3foPS/NxtzYonf2qKp8yiN5HIczaBjwNtIZNkVrq6TeY9U3UbsdRr1/
FBalhXhBtLBMzauhwRkmW7rMOdXoHOgVULIxa/uHKUaKKcvZPXaF4HhW+5TF9lOdb4aE9jHXh+da
zrLdiICiVhO00sZMgTx3XGhXPECyK3iERyLn1oGKYyCCNJf7Owlq7DK3tepAeQnCddHUiMFtDfLO
7Y8CO96qk76NOWoWO8soytBkiN3aMx32XTZIKFI1Wx08FDb0kN6c1kWCZTxNW7oq3L57c6ngpCeM
12EWN0/5KPv10E6Uc8sxxNTM2Q4j+Y+cO9DGzSP9OAZFc3RSFIPZZS0gvPEmRc5cS3fs11WUS6LO
5g+70R51E2ezcGkgwpqE49dQ6Y0+L2HmsZwL9VmHDeQuy8adKJ5bZAR8owAqMVdL/ToYiXjt3KpZ
dwkfOXXW6cGvpHhht91uhiFTu48RYxGSFPhYkEM7WzAYC6NJL6NWxecz2BTzjOdWQQLBz5WmPuxs
A10IQ7YDmq/YYmnCgBnQoA1uwHzq2Hrvkqns3hIgofeYKrii6QVdI6fpW+yx0Kc9Iz/2LQRie7Li
s17CXx68Nti7zKRPFu5zxm+9P+o+ZC5Pjw02iUnlXNlxvKPAAYO8Z1f3c540F3iN8ouirowvBHN/
Ncbl00Ir7T6IG31btz5UbJpYw7lHZh/ydjw2JI3JnycAxIJAGDzhtWjd9hY7J8fKdkPODX5O1BnU
67pXF6/UPl2YnWQ56XTddmz23IIr3OXQJ2ptPM+JpD1I8wscgGkDmq/z72u32eUFlrQRJTCsbNAO
dM0OGy+NU0bVWq7oKrGPphkBTtMLKWjXG92BSpZ22s08OGm6jGxI63w6eBcbeH4pQHRY20LfTARN
Tlkux6OmaCxeh74w8N3YGHiAdrYZO7dDZdjXoKHhX1DCvCHLDViaEDJr0GzTNPSBdYLjPyXFyb5g
55MVyOEWM+1aTWQktwNYqrFMLRAL3Vw9OPxEH9g+ihtz5C6DzQgPp9tXQ0WPW9PcVHol2xU50vFl
6Koc+mH6lGfivjIsYx/oUA492vtus+UYsGzbYppi36IHYO2TNr1i7J5XYq7qx04uzglDILCWfuge
jGx0j1lAmVqlEzFjRxRHxwj3Nc1OMjrNojhyrr1SLakKAjuTLcSSGceQugWZLMga5K5fB7egMFk3
b/AqmFtOdUXDOSs4NQlYc1YO+WnmyMDnwKNizQk34RBJTN8x7folc+rPIQ3uOz2Yb7PEnSk+TY3P
OZ+aNbV0fKypu5yspve6NeRR+3OOVeWU688Tw8Lf2G8JWHj7JOmGTVbl1q5YZhM2W+Z44bcRty4W
+8KdHP3RCsb0oJcsCkKrkPzCExalw6+2XF9ON9nsGNtWx7CyMr2Sqz9roK3+7M/lRg2FLocJY2vj
o+4hrf1rjy6d3Ht6nKDXdNpy0nwvgUFDyW5aY+OkNCH+/Dbrqs6psMucm39m2O3sQj5x9ZD/Va5d
i1T3Rq87AAlluhJigt/3bd9l95GfC49ZrbHN6bEuMvOAjTK4gDPaPn67eGkw0TczyZCrvlaFfB2r
2W9PL3ROIjhBca6E/opRJDsurCL3vQjkRQTqmY6H2TmjsGRPGmhr8Rdfr08cJI59DebN78291QD9
U/dZvUKc+YvDt1j65N3IGJDXiMATn4xFC22Z4eD7q+G3NOQH9KbyAUdCRYXfDGsZiz6H1Vxr3X1A
ncw+ApqxQyMWFz+bgRHVizthqYd508hc6YCfc9S8TRxlwl+NwYq1305R/tDBrcO/3k4t9IJ0nAFB
mMWq49/vx9Ion/++YXgaDdBNk1ZdfbuGJ+qZOKZ2fQZiB+uwlljxPe+8d/jFPpzGrMkIFj8O0Xz9
Gxtxh4Xt3rWUplmIkZUgANsOTBaTHbwPSq3gYI99GR0XdHR2f2J4SRk41kPadjiHLXaneM43Zmvq
RwcE3UVcQ7CaPMe6cDs6FKAzcoiKWvnQLyAkxgqyOsRxeL16iwfVTpT1cqq8ZjtDk7+eA828HIfg
k9KziSiok13Zw/Lh+bRsFRB41zVbPtxeunfb0oS8rQ2ep5oeLPdFwVcP3Ix/qwI861FLust6BNjn
0W/Dh1C7j7jzAkZ6LndMujbMhqHO8Jx67WOTkQWjvfjC7Bd5NXFyINmp7WaHMaVxaMTzeR7D47P0
Ta/cq+g5l4EL0Kln/bxyBnPZlXaXHajpuCaazA3fJuz2GJRtdUnWmet2kOUZa1a2RTkeYGN0M+Sl
KeJMbl2XegvPiPpC8yYiU31Yglgc3KbRHlIdo0NOFS3IXBpAnbxZaF8ABrL9PvFEuMjDvgSB1o56
/EZ6O3tJ4kz9GWNgjNDsbCsA94YGgb2XKTZYr1k80awIjAw7U38tmecznp/OV9LWwx2G6eRpqZH5
8GKZlNR58oGsAmXVsm+fWy2d9jWd9CSlKj2cpVNeTpgMIYPb89mL7eYl0jgTW4Prg6pJiq/KGSem
4CD+CAA8UvbZUmjdDSZ8acYVqkAeNX3iaUHS4oewRbRj0kTMd7xDNcUtzpTgPlcgXGwP1uqPKYoH
uQdwigyD7r5zojEsowzuOJjxbo/vo7ull9zfaNi/Tham2h/f6tb/MwH9t/r5f+w+xdUrRWXfMvpf
ZfU/C+l//Z//k1R2VRb9j1X2/xx6kEjlf//Xq6Ifhq9V//rWpr/jH/5ZbFcv84vYbv3JsJ1AB1jI
Ptt0WR39VWy3Va80YrvHghPjDsbe36rtmFPwOnpg1HCcufhT/qK2m38Cloh1Tudlv1X6f0dt/8mZ
o4Ro04B7qBR//tHyftbA3TlOSHuLlT14q5HjziSOchl3VXbOWkZ3Qdu88qSP3gar2r+Qwb8xID8p
8I7nOS5pG0gmjq6E1t84oebIVUQs6obnqVquYA2BfddrqFRt0m8QB1+JG9nsvLlDxyN6XapK0+qG
6RcOUBpihMIk5xMJ1NkAbkfCaWtwzTWdKsEnqKlhb3Pi5n7KvpmijXWvm9P+N9+Av+ch+LYs/vQ7
4Ju1Qas4Hh/VzwxJV2ppG010IsVYf56H2Il20/dGwQckGcffVKrAP1hq88Bwa11iPgHk69Qjmcau
3tBzGYexNpqXQp+rIz0f7C787z1GMtJa64xjv+E9ejfThDu4M864HXUIaWr9ITtuVR0egbAcpblh
5m22sAt1RhRA2GR4irVDXvBmcMc7ALhXbjwH4aiWK3Fm3ir4+LkLMGJ6OjEnJ3mySF+CiqIhHOPP
E0d8yf5Jhy6cGuc0ZZ+HU6sGoBScjcQF2BchjORscFYRoaAVNoYXO8aaFKmNTzcRNjGJuW0lv83K
XOCmR2orVHotUcNSfkkZXOpdkm/FqGwXlMeBTzOeu3H2mOOs6QabPxCWLiXnP9hUN87T1qJlk2O3
fHf7KEQES6CaIQfEfPyK8mJ0pKPk8iYTcXJ8iHty1gVnShFwIovCzJRIlCQdCSR2IYiXPJSsFUZv
pAZkNGGODLcRdDgqHK9s0lzrqs5fLUhyG91Jvjp//tRG7W1Z6jsx5ldNon9NAfz/QtLG9daxf09q
6xjk1bVmRMd4KTYk/U4SCMmqJIcVVqVaCojEINcb3GqGjgEko8PV6G8pHuk3jO6sMPzq2iMtJjPd
CIPGDb3MLrk2tQ8SQ6zGGv+JEBcdz3yNMjt+A5N70+T1M5YSONIR7bcTTRAG4VtNu9aLhWeLTduN
dOuQ/3vgcO4TCI03koOX5rKconGhMDHVdqwqf8SZtvdrAISxADZC7cKI79+jSclzp4MIkjePspTI
S3YSmC/z4o/RaO6q2rrMtb7YtxWrXuL562huzJPeN8YaTOUx7QE6ut2GtsOw66qtHQ+3Dh/NbDAg
1vxKiZ28tRRndF0MJtg9cLKhVKA5SFOx3RLUK33rLNNOqKwQFDWPdSiCVAJDOYnJ8ccHjgS7buK9
aMQpTmQ4j+MTvUQ7MANrI3Au0mXa1oJqCdJBimFnP4O1WRuT2FdxeljaclvmLZwake40U16aHCiw
IT04ECHWA20FrCTAOgxU1NAfSc+28Yn5el+62RsMg3MbVZcstE4+hYd+YdzxMxNJGpO3uBmJ6QUn
mNV1aHkJPOXUXXWOe+kby6lvh2Mrxyc/mB47ZwBbQh3zulqcec1hBD8kcyVlX9a4FSQ8V5GbNSBL
KR1tagzknVrqlrUroFSy6EVPZUWqg9M0ac/sxHJWRpQd71LL+IJYX0YwY7nqmGvV2rgcbDbIkdNm
rMuG5AbKOdczJtorKoAlahvLhE7CVQmm0r0GDj+R+mfOTdRmevxeUsshKFiNODXxRDHcDRN9HEGx
TGDn/LzfDFNQP5fS9E9mPtDn1MB8w9PfvVIpNO4FrWVhXo3pHgiIt3VEDfqzoRpKN0CMpEJPL+pl
ATmHOrbJRYA0r9Frj3fU3hTSv9DrlL6WPBkO0s7TTTDAV0UJlyoC5d3IIphPnDmZYvCeroHAYvU0
GDpaoG+hawNfmFveydjChkIyV6cUifylXmNISXGPPkiaasIowUWg+9dLa8LZ4QcKjJ1mx5yl4QtR
z6Gjmdi2+MI3Hs5lBAi7OLHCJKLJ2ba67VFcRmKuWS+2mlZfWdV4lrWdhr6nXXoivdZLBsg8P2ta
vm5jua5N7Zau4U+wS0Pk3QEQ2TqsPkpURn32Tnozv8b69GZMMIAqtdm1RX5lzctRbwLtFs7GYxZE
F4Qw93PavYOm/aRm4FSVxrVnRbeddHZVY+xlTuTAYHHcDv7B1Lk2oxoHaoF5hI09UMzJe0REv+D5
if/OXcHS3Np+BWOz9y/END4T8D8FtniwqEUIPSRmjtQ3uIujtQd/bz0L87BUC2jDhW+PTW1QC/Ar
Wq6EkV1GiPOtT4lRusbaivFZ1SoXc1lvKf98iHgQUCyF/tCXL7Wfvpm949FgIM+1VwDw6OsHjNXX
sk8ucdgO73GR7sasDkIaq08N3uZ1IKOV0xnspodbyCD7JIteKrh+RnSdR/Dv1K3U1LIDIKIDIXs8
rJT4pV6w74KR0q5pmwx3mYOnujO3U0W+InV3mePSyTOxV54Kf1v2pAOT0mlU40qw0q38bvCLO78X
3D+W6EGIuMX+E18ulRvq8FoQd0In1c+m7K6F6IlZFqHIAOcm0PRQl5wQzj2+N6LqSXnbwWwJ+9i4
YtVLp20/fwZLneADW2hsxhNNhqzj+YdGGGj9B1C0jxJwEyQd+6sX/tPsOOWRtvH3nkvjXivsu9n9
yggZi7J9Y520bf3pMWZD2jTRMxoIvVpgRvpr9t8xq8X4fpnre6ek1AQu5WFc6MTNlv460oqF73Hh
0KpOnYqcyc5rXvouoAvj1stpCsd3xa4k3nKG/iFrZqdY24wBZexAmr6oqrog5XUBJBMMredcQ4Q4
IRZAuG/w32CVXjnR/DT12ifZr02QLg+9U2Fnl0cx8uXktoEyXYb5ol37rD4ppnxxKzPCW4ASS60a
v3jw4ro7G/wQRc67eFBN6pG9okP22eI/Y8Aab/veuS9adh0YKO+SYIYvqg+U0vjHBUxWWA3JPqez
APvBxsNXmhn5Lm77S7xlr8lo3hVt+qWNwF1EpG97XPyrufbuKTIIUbOqkOIy1mmBOAokYR/2qw2e
K0eEX+JQZ5lWpuO+MZt3ubCgt3XKbFwfxEDUfPi0rsRygwflI/fm05wfEs/cBakf0YrutltPv9em
rthwukG1iKeLrLfXde9xT4sfteaOVNCe2NiGQo4M69BEplxzsWpXz3Rcb2GebYxo4Pbo34lAhDyN
3mh6eE69iS3k0S7vVD2cuQQbLVt01Mid2dgcuNmtf3hZchJY1KFMLyzVnLnYTT5BHJnbqns+ix8r
a7pOrA5SXAsCIa7FNTrde6vN6cZvF5C7pInwOcTvZjRcqx6JxXX2bRz4VFgjvhTtjjasLRqNHXpO
PZ+CkhubbtTXTquPO7scKVwozRvR8V3wew02VXDMQArjlrz0a5C8ek4bcqI/aJ1332tNupui2V5R
Y+eftNZuQjeqmzB3PNoy/PvMzhgPbL3DkxBbK2QULbQCQ1vH1bSv2kCp7uT0MklVBRi3kZCvjVZ+
wxJk3MDHvk80Z58s1QVPzuO0EBXtlHri51Z1KTX4HC2Zna3pdZ89vjmukcU4WnNBhYmbfzkeBKkM
AFg+Ag6Bh/uaGekl9c9yrU0NHQjOXQemOAS/sWYHA2Otlj25Wt85N3N7UQv7KULUKnztC+nqaAsO
2LjqHdDeC+1wdJX+yHN+esaiXoXIdf4FY0Zq6vQCUplkG3jnYBjcltb8hf9OPGDGpVfJa3s428k5
N3J9zUrxmUKnQ1v15o7C0ozsse9uzZm3ObPcfVbNzSaO0zMOyJe4jb7IuhWhhHTOIjP9mBOt2PoL
v40nwQj0PK5bxSCzKwJpPuUmYAz0ZDM3bvQ6UC3DuWZeWMgRWLuhOXZefY85idIDAdUymGZKJSRa
2a4LD9uzpXg+y7ea+D1SVRqg86jh+6d5bX2VL4t5Uyspkm/7x/QtTg6Dv0uUYAm9o9u4Q+tuKG0e
duWAt2tS6mbZCu+cuSieUzYOO1+poEMMhSKsLAvNX9nw2PZkp7QAsuXiiT0Qx5IPidJUecxR1BPN
HTC3b721SDDuhFFuBXetUmX7b4F2UVqth2hLHykJSaD4BFvQ9EtPrJwaMYpz0EtRBNcC2Vc0HRAc
L2OCzGobajYmF05aZDl89k30QGJOnw1xUdtBHy6Twb4qMvKbBvzjKm0TVOXZOYoJ6FDnthMCAykg
YE9yOzvZVksQsmqK70OsA+k2zrOe+qCsvkVsCd7qTN1YbCVfW4ukbL0nrU9tF/B8reoPWI6XnU6E
dkctcEt3PNx2W8nhdqmLEyW5n+wB2zBPfefkTukHWGlW6qnMTtnQyEdSOS91os+c65HZ//ir3X9U
/n5D4kByWxwv5Ln38BbdzR9/telXyojfsQPgKMjvD6eP45jP5JiVPHeiiTfdKmEn/vsbsUtuWKIT
X/3Pm6zfrbvuRclf//SP/MMX+h8YPDENtZH6x+uwa8rr3tP69UOoddh/dv3AMqz7bXTlz6/wyybM
/pPDsE60AywtOXeCJn/dhHkwa2kDYRNGhJr8t/M7aO13LN0nWW1/77t+uwnzMZPx37nMHCRa/i1o
rfe3lRZqB2YS3KWWREVPflqFibrkFtVQ+5QWUbdfxmVaWZm+S9H5LxpN9/Ym7rB1TRBmxd0J02Nd
aGvKwoyVqXfxF7aC5lB6y3iclIrb6IhipVOwSVEaL+dNWKyAM0J6FPyVFtfpHsHPPdDoqqRbHqnI
FM2FCSnrvpdUWJQFDVqCy6yh1sCdvQLnhJKY9dHCQJXhwPWg+4ftSFdmUMP4rAl2nW3XtXaah/Dt
i+DdFqMexn4qeUphFcyopBjK+tFRwvZgQtTzldit0OBQ1RHARYaFbjZbJvD5uinLa5dnqjGrF4/x
+JK5blZ6EtFFpiR09gFoqK57iwbEgloJ7ZaS3JO5bU8eILZLvGPL5WBmYuf3sXtXK5neVLfQIiPe
OlUGPWZKyW+Vpp8pdd+UWTCvkAnLtat3l9LwcNvBPnipGMEPrAUTJuKugU2KZ2DBchZy3mawxoTw
g+Loh7n1Qe0qp4HA/wu0lbtPNuGrgV9r2e2zr/Kc8tujUCm7gs4dY1WNnYvr0lhD5Zao50a/TpTP
ocLwMCnng608EN404IYo+BVirYppsSKzjVo9rWSNdWIW+HJ6yeOUGbdf8wTBct662B6JeeCx87s3
aCTmhjSJvdJ73BlGr1FeF/jmRwBMHrRENJCDETycuqUn8Flz3FVWD0Cozl4krD9hjvRH2HjG2nXQ
y9OUv+U+Daejso7oQe/vANrgJ8HhZNFCh3lUEXuOKYC/0J0w0S09HcbajCBYKH9KGo/tqVeeFb4C
VMAKclBu3P4QeTKdC4s5tEnN5jDDtzsPY+xtTezla/JEHGThmGxaZYkZa9M6pmBYTrgdX9tEPoiC
Ys8yjq0T9+glRNoF5DAnw6M/2Nk6dwWlWZ4y4GhGlq7rhUqPSdlzXIPLasY5d0XDhIlDlLClbqbs
xWah77tSvC/K8ZPKIT15ygUUYwfKlS8I7DBmR4tjdKtcQ5byD+WSTgR/MMebQJ0wzFjCHprUuaMT
Luo5AaW9mPVp3anzScyGkXoqzizQzoAdcooZOM7E8Aj3BakoTjgsdaw4eNG05MxDqOG07O/LAnXM
UAckejzzjTXp5g7vHJ1m4llPyGF0XXYuF94/vpPYFNShq5yML5aMt5Y6jmmj/gX+Z2GxxVGtjR39
Aq5ijw8COl+ujnTx6BV7UHDOhU2rImTI9khU68vssfbr7hOsxgs4bu6ZKlD4+40F5Fgz4rsev/Ha
I62HbWZcDyYT46IKCYqohFRM3koJw/2PLrbLDUU9tAVSNH2Tyt5fkwIzuU+5zoNJI8NUODPYBJea
Vl1Oh4o2cGS6ytu7cF93bV1a0CBc64i7hS711HhsIUIeprq1eBzXMQ2BFA70bn2DccPdcwt8shuK
VBDDQxzubPPoJ0GFTTZeEzMxG5+wiczrFgvepYjrO0da42OSZD6vHZdhGefQwpqJYEgA9NJpuSXl
Sc7MXPMl78xBnGa8V6uhZ7kq62RTTQbXH/Ri+IuqyIIHEf/kxbfZMPQbS6euUMu7iHkH57AxJrAZ
E9O4x5jEPszszXBMOVgg4Pob6S7Nlu+C3GoptTitUxsZiJrkNSuTmSIM5p+uknKV9Qh6WVu+op2a
oZvxwuyTrJXrKPs7pOc2N72jlghANYKm3amsox2sC7lhx3U9tiXhPdMw0ELMa7vpdmAv39Kua/dT
Z4AJiMSxhd26w2Dzo8ITtC6c/pr5U4P9OE0SNxAdCV6g8TPE/bUB8ILC0ZzcXF/kexiFbUhBLHXx
dfI8xyxb3E4ZV7uam2+OWbj2t+rWCzLu5Og4/yNQ2gg0BJP0DtTS5NJXqFszlyHfKzPQ96zznrsl
dcJcGOIQR9yyKl/sPRP017KwYDQDdPbGgNxgRml+Y4Ezz+zhnLa9HgK9fuuCgTkxKy6WuLlq43HX
ltlmWpzP1sRrCMz3lGOYiBcc64Y0ynU8m3zTIDmFIH+f+hxAjlGXVyOmaHeqHkcv2pM0PMHauRCW
+c4A96qOyK5v37FqvokzthMOyeQUh5eirwEVqEmg2NayjqwetTtPH9nzamEblBXyk88TirkNoKIM
64YjfGCMV4uefsiudDfSnqlKcJaBFQado97cWFg++RroRU4Oe0ajondj3pAdZxVbzS/soOjn9PkK
T+rbF/eTuapTf5u3xClyGDdOsdBjn7PB585vJfr7RHEGm0emuloWX2UOIKDJxynsIp+6FkVmo+kR
V4B9gb+YFsKCT6zCD5IVznUGjg6fr7h22L+t8sWlhBQ3Rj0vj9/f8ciBOdt6PLZZra0Siic8nsmr
fkRemMz+hrbJlyTDG5Xb/qtWBrdzWXy1pcHbPNy2HT9TIhYY06KoyEIUlGPXWvv98mwRfpiWXLnY
G9cQ27jJDvaWA91en0YufofbXOl3Jb47nR6bgfSSZgJ3IxAf0+TaXlh8RTFtZF+VX25IjDT7qnbm
Zy4lWEhB9uVjoVqVWs0iIMeGMvUWkO+GDE3Uc9ACd0dxBT7aue4FwhWgNbj77MAj9npRO1wFTvHg
iboBCGpZB4xeFEtm3MNaj1yY2fOuDrZ79f3StWFGdza0VehBureKMu4LhldpYTJo/i52Bn9Nc+lr
ovNq+iDF4ftjFwpJYXXzRBhlAMYWaFhuy+KOh3BYNEyXiT7c5jluLbs2Hgk8G2oPPq/hUpRsixwT
ExPrioxwEb0JfB5jiqWj7ur3IQPHVpaf1cLtr6QeC3VW0hDnj5Jul1jJMJLrHTyv5iyvtCtAEdAn
PqWJedEd2EAi3GAgpwcricAbaHHOWnzIvjKThB+syorSonSbtjGY45KVhN5EO06NOhsN7m1YEtKd
AOS/shLEgqGpccY2xpXdGeb7FJsQYgefpscgJRwA07DuaRloiVCaePj9gQqGSOcTokT2wVXfAj7V
AsYcNeZGj+RIrUV5CYrs2rciirkqanKyZPzRlw1e+YKcRle7bMtn09x6JGaOLRCNVTBrsLh1dWPW
oyLdjF4utkQKJAcOUtwm9MibukVyKiWUacKkPgtNurQijd5m+LWPjiI+lpoSP5zqWUheszJICHgj
lspC2qiDlGiHnjk5IbeE5tgsi3WbMzWsFhl8kAz1uOEiC9UNZ8eJ7fvIGj2UC6efsjLP5kiqvcZF
STcBPpgmxlsSw6FYp71l3NKzx8edqvQtEtiul0lMdVFkrBYsUKdINFoIIVbZbpuS/SvPJJQenL3m
2DKewIPddX4Lu47+JLrdWqI1oy3PDPn4JHvqpL2SMV5Y5bhfGqykBeGOXUmaeMuMFYRpWz7DftK3
GNF5PDmBPGexc+/q6YlfC4s5Z9hZ5s3RX1hHlOooM6VUf1L0m+x7LJgXBmzBFw7qBu/jjN3cWTDC
sCbqD05QpNt+TD4IBaEdV7PJO8SBaVRWVT+d73gu9/8HQ/v/zTj+u7n+/yMbi2WDVvqnQ/vrf/9X
94fH1+5d/OF//WEzdPnrR/rbmf2XV/iVFWG6ihURMLAHVMSAa/iFFWH9yXbonlHtmTT3GYaal3+F
RTDhByagF9OG02WBP/jVvgJyxSO5AtXH/LeH9p+D+AzsrqfbBlySwDTdn7gyLrYybSkMyvXgQia4
zT0eVi6yOfWBzGV2ffjNe/V33B5/C6dwXWifnsW6wrawy/zerzLldQGMiwBKVdb1XmTilsjKozUm
/r+giLFy+JtfzeOMYvB54sX3zW+I0G+sMXapMUtEAcfcCYmhi888thomwPlHlnBTLixkCHpTLhud
+/GUWdVLldZ7gHE8ejJ0MPrcNxC+u0OFEWY1d8ODV716eblupWae4qp5I6DWHgdgz7uuBCSTyNpb
w2ulWxhxOhQatz53ydxdPhJw5dCnPYHXDK5jJs2OjJ89c5PtRLFceilPnWkebhrVoSY1Ehv14APF
XRKxkYtRbGk0i58sMxVHc5KbKS4J+qtGNlXN5rdGeqK1QrxVHcVtcvC622lkp9468xfdVSjCui3v
EOAvNcv/pE0UeVyVwS20wrWqHo5obbUWJgg0x1n8jWghWnj0yflWRlGlBouWNm8d/LOcaK0u8veR
1fsa2NAz/ucbQfZkByoAzaSLDjX1ddCJahjMHgf22eiuOtVyZ5N6s+bu3JjRDwC6/Wp08A2WtGT2
ePkA8trGZTC712lXPPhwajdUhGe3rirWk56lnWKid1vhaI9DY7XKuxKobQquao1yPnq22O7Q1xdr
FPdxW6wgpOuv2XepH2//2VdieexSeCazenpMVA1gpgoBLVUNmEKp3tI5Km8FvYFyGsWuGwuI0JpW
3nFCxJuvi2iTAXaigxxlg1I2lbvVX/3FME6mqigkqB+HsoPcHLuMr41aVOuYPNRZkmc7BPSnnsbD
lEDqjUvTZEjbtbOfWtc6TZiiiGGSTF6Z9CYa9CfiQ/fDSVUqloTsN6aqWTRhWK5Ml2WaUCWMozT4
fqliRk/FnjpV1ugSZz5acVRvmtrdFUwgK2ijFQNs0LFh6Lf0F9aHZfC7l5m+7TWcN1oPm2bcF9iM
T2XbnVovoNl9bDjqNJwd0H/6NxXHX7tYJzfaPATr0sZe1I8GvUtOc5dFiDO4ZA5GWz9pCjxhMY2s
hVZUrPCTuzFWI0hD+NSYmMssEnSrRveu5OIid4MEzqXLlDO/+NNymbr+DSuzzaiTghuKd72W7yT1
H/uo+WFxigmq6Ifo5aHvsyPv9X6hGo+L173VW8X8sie+Ge6CWz+/7LL0FW4MpzWzdh48n98+mePD
0GF/GME02z3G2Mxw7y29Epu8VtNig1+OtxwbRrlIzlnmq6+nN/CHn4gyRiHAwYu89h4sqlr7BLVW
yt2UTDt6uhJwC27ASaYEC2IP07uyt9iFsChGWd6Lkkq6rCLSTjQPLtsm5vgZOW9V3r/nMyaF/83e
mTTHbWRb+L/0usHAmAAW/RY1sgaWihQncYMgKQrzPOPXvy+LtCzJQ9utiH5cPHhjh6ySKpmJzLz3
nO8E+SI20ucJDEJjRNukkXqo6VZtu+s+7K+gSNz7epQtayN6xMD32BT92uc+NKeXeaxE/uLb9jrW
veNod8/Iq+dRkSW7DH79zNRIXiitDsUDB5r5kI23sRGubSu5N7lkAlS9R0f+Kc7SF6tOm5nmjmu/
Dp9U74sQHtG9ZezS/O5WCPKj8xxiCwx1fqQmo7nAZYTXMjVfUvp7M2wq284kV9yhkOKaxbXaAj+g
rLEBo4wmL83vowpqvaLsCle5Fp12zHzaHyq4XSgU9l7BWc3WYEACp0CIrAeSjZ32GAmVu6pvrzIE
KWDG2udp4vBN2tl9Ls/j+IqrmTGZ5woeezov3KZ8mwRBrprA+NNpFZOBi96nPASIpZoILZEGZrvH
tlYZifQhY/egc+YJIk3NMD7G8bDTSrPbsg63FOXmIoX2YGTjsXNr6sYhmYstJMgqNVeZt3IgZlec
Q7FcrUl8uW7LCNM7X6wYw0PRRAstmS7lNLZc+0rtCNjo5IZhBXJkgxojr3pgs9pk7Xg+ggND61bS
tlQxO/TaVYcECONafLSdhlqDqUFjVdQLKdoBirMHar7lhP1QCGoLOEsSYGzIIdy6REKejRtbQxuQ
cLGcaxo2VaOwH8IqWevjoPL6YCsuEt5GXmLm68j1v/Ra9Jj7yvWYIudo6xUNro+hzoc6w87Bl0lG
V8I9EALlUPe3XoAUm4A06lnOodcKbQlfGPNkbKzq8D6px48hqsgZ++ihxKw9V4xEn2eq8uJPlP1V
8Pa6I5UYLuV7Ve/hOewjMNxzUZvnpp3w4oNbm/v4JS3/49SAdNIaykqllC/i+D4ntXOrVMgDmPdM
IbMqJH+bGJUSVEnPTYw+6KFVpiN18DVBT/me5iVjDfV8ACEZN1uwgI8UeA5TWd07NEEbfRdpzjpP
y/MuVjCvdguHOuxpWYfa1dSWV0PInXFKso8RNcwi9C4FSRWqb6PTszZdhHG/ZRq7unpPT/Zcs5P7
qEBpUXjNtRWo+ETa/HMFL5GUmexLFwh0FlN49BXFXA1O9iLc6oseOOuiVWFXhy335HYB6egegxuF
iKnddV7wQgD8Y2xuYN1pvO6ce5nTQe+6Oifq9Kh05iE01WKH+zLlYFIvXG1aV2XGdSfKwBnivHIx
n0HwkJFod36d7rVU+TC4YHYt3CtNMrN1GzRMWB9pvMCLZr46GvSiJkzZ3Ohw42CMqaNgHWyfAwTQ
m8EimUMMt7hURmQhlbYaXFRnds/5ynQ8/mu6duJ25drNVRyKQ6kOz/grEe54nxRzF6vQctItIgf1
Q5mq2jNpE8SEYvWeOco21YIvZq4eO5juQeYcmugOwDzqPqpZaYMgRbeqG78iapzao3oTuwmVY+DB
815E6qInbw0Hi5edg+UEzCA1bK1UsyVS16ZIhRtwNsrhygQutJ/sS858FBOlJs7Hc4tbwGw2mlTM
BdTEqig0l3DPyhXYqWJuUqVdcpf11kKU4T4OeWumxGwvhdTkwTGwV2S9hed4ATmERHTjJ6nis6Se
T5PKvkRq/IDgF59gbZLjI7Ln3uUajnc/utBp6h3HOAtXFSnAfDDa39RMP3g6uemZJaan0vYQmkHm
2IvEYcd32nIdNWiBFb+G91NzSzROPnoRjygI0+J4aofzJ1DcdQljSkJNB0FCD1o1qYeprNSLGtMW
WCnRS5sPtiZdiTUamoh+OyfDdkTRbw3EQJl7mXsMKvOliQEc9SqHV8yr054f3H7sJjaL/CRG9mDu
RJIKoBbFBNtIue2RC9AIbAmm1WjtGT0sLAP5iu3n552iR58yoyrnDhm5cw1W/AfCKclvSlVnZ1Uj
ebHc2G3JI9AkmWCQjAJQEphYad6nEajAyLNv8DGrl/ijsRgD9URcNDZXfWbEQEUon7iSdiAmRqob
em0TSQwCm2jJaksedd+w1j26nO0YkAgV1oa+T8F474XkKITo4pY+BsePvR+Za9JntceRTFtQxAFS
IAlhaCSOofOlYHcic3yptg6kBslsIDoPtL5DCl4b3uDSCxZtNI0rNQXkEknIA4mE3qKu0LGnicUU
alhHva0RUum53ZZT+cpr8Po0kvUTpOdTbBzSFh9krqYNy1zn1NXr0yey7DAVp1RwYG1FHOimbhPV
EjrRspU8TS4Ns65OLKkJ15b2REYKWUgQyjzrwQ1Q3qVt2c5xOOxMPbIuJpPvN+Db4pzrXDuScIFZ
KpilwrwK7HDfeOOwKyQMo5VYDGuwDdqANDuLOnUvSfolYFzzggOL5EopLP7Y3hZgW+h4GrWTLasq
sLfwTKZ9VrCTRKrcknPKRjZCvxkRqDtu2s1MBz2zbiL5/YF/zRQR1FA7TEgTIUoNK7MFYr5+WpmK
fxP70XNFqiiNRe2OY85mUNyHYRw++lE9rlUfhpffa/kupt68ENwld/RRcGvrtUMZdmRAAHKHGxKn
SQozayBCEdlfqIt145Jb5MpE9731kArS1RXqSjq1hkrxltgbCboSwx1WyAsTLPlC64ti1alTtPJs
Cw4+oSsbIMAf6bxk66ie8pXaGzf//BVs6EnyXgXvYZv16RdMnfe2pPMVktOntQhg3ayf7hvVH9el
hPpFgf4SD+MN5GcbcaL/OcpswH9lR/2qzbq5WfTGUu269Dyld7VIqyk99wX6FFxo40wEfn0ZnciC
DdfqcywZWN3pE+7xiHAvAfYyS4vKmodWrS8hjJOBk1At5d6DAoko+ytqH/rMtLr2UyHZhqnIpot+
cDeAIeYl3YH7zuN4rNcVQtsTGrEV6iNXVKqYjsMhoif+h8UxV5IcP7XkKYqR5hkWg4s28M25IpTu
Ymhoh/o2uuxwwh1NWeMBXrq3qttwWzulmA0G19zQHt1jabEGp5ZsISLJsK8AywlQLS4NCYB01Iij
FDnltO3BQ3rJ9LnubSzbZYw6H7drAjScnhuHfL4kCmSKyecZ+XqzNIzS1T9/Nd600hIjUqQApbTJ
EDjBPuW1SNuVl1xaaegH9guVVt+qjhRr2au4goAvhZRYsOEE0pDjp2jM7ZH4NTevzUVvDo8dnfpl
j7d6FUlTj6Cpf/h/Wc7LiSr7b3mwxDR8U7aSxNk3kqw02/3rH8uhqV7Sx89t9YM17fT7vqpxAAVp
JuoCXTeo40lC6VcILJ5xClI8CGE0WxYUfynsqWcmXHAV2bJJd1GVMQdvhT3DPnOlcgY0vy0jqSHz
/8LEfSusYfSjrOq/5L9TaBM/QLItOm98kopBzQDyBlOJv9+31jAyp4xKcyGApxiz73nL1jMSu6KL
oY3AGORlccyDnD5RTdnyqsauBnXhrrQGvB8ErYKBS3zILtC4uMk12cepJvbXcrtm5w9NsOaybmxC
SGaHom4xyIKYO4JXPgbcvdo8zS77XsXw0FlWTj4joCjOUgT0qkH7gVjjJ98bAxl12h5FbmgLXQ3M
RYd3audFNSAkCIk7mqr+1kHXctXqQbt32wBQvMLHFdlNVBJOppYc0WwwxMvS7el+kO25sFBfb4VD
oulAdaQp+bC2QFYTd2A71Sh7JDar2sOGH7YmsWsWWW57B5reHogDFmA7FuWsatlpZ2lbYbgZ2eyS
TkFEenLOpepoXYw5taAch/x5VWIJCkU8HdQE8wP0un5RssteKpZLQHwvb2gcJue6TVgniXLDPjGm
ue6pXxqs8Hi+SOJ4GtVq+uLbrSAXVxefSdcBhejzkg3MvsIHQCwxoRuAPyovuq7ZYxcWf+y5H5u0
vCedZEody1Sp+1tNhwoZRmR0+gkIfAo09Orc8HM6OndUm7055p49iCRi+QKlR1fcAPAMY2vnQUpZ
a8a4b104H6asX1VGSbMDJYhpK+2usbTwUnh6swBWZXAioItmDyTNFtyCwck67YVPsukKZHJHACwH
LApHORdlNXuy82nYUqsgNE6p4quCEtQcjUu0jSOaM01oggewO+qYkB0YkkmABo8gnR1hFl2ZGhGz
s7ormoccxxk3gao+qjBfLgjY7G55v6qcjqAF9DZcTDVysBLnU0ZonE84NT43pXOXbhR4QA1ccgVg
LKZzf4RihKQzHHYD16hFCDuGIpB9HKklo46KKT3EyXNKWZkyFtcpfdDrGx32EqdOjEMt1VAOelZb
UH4wskPnSjloEmu3Q8WtSNdFj1pY1ko7UF4Fpsl5MVjaujUrccnCK5YCgNqLYZjBwu2C+MFgs+RC
6kMWbftsF+Q6oodG5wcdttBZlXrVeFO/J6OtoNQWJMYnTm72XZjDT5yXUIsvRhd/k+PExUVS0Kqt
EYLlNHKXCkSq21it7v0siHfkVdp4NAp/jRZnalYhCA48bZ7ZbXRFC/fh6GSrqsEb5tlmD0oWwpY8
mqnnZavKLCxUXhmsRScyBaJv3m7zfmioIUH0O7ZWqKwIJQ8fpgbtEXlXxh2AvXw+8C+OxZTVDMVd
kAcKXanwiRxDGbzCW3MgzBunjGPZpbIULhdNqdq6bZSmwyFDBhm8VT9+Rjn8ZBXktFGGg6yBtCRq
KScqVnVItBFda9n1q9ax+nlkVeGqtUaOrkV/P0Rcqaquug2TiPeFDpHCK1FLzlVyxDa9+tCAznqg
Q2xvJlA/E5wOz99UWpUfSsjQT2pkOddx2zntTAE9Qe4RLjhynX0ArFayBFoBs8WYVv4YI7vCT7Ip
jTpoZyLtkjuCik69yxH+rIhnQd7pj20zlcY8qvrhg47yggSo0PjQxygfgHtOK34f7iWjpnSVVTCu
0jJq8BhijYfoTxS6dMvXURfdl+GIGBDi3YcOb8pDRpfywyit9qXapReTtN+7PSpgBX/LeTMo5ac6
AM/kwBm4wa2Cv1Ca+Htak3eQuPzn4eTzr6Tl35Tm/7yo69XoAwSgRhM/EFsazmOJC7AlOABYBAyB
voiihxrry1MrEQO6R+3mpLQLBcB8cWIR1Aa21zpsawKuR95UvPpuQBXQ4o/rZGO2o34JZC2gkcHp
GY/plqM5qNwTA8E54RAkGKGUiAQceNmFJbEJxomgMMBSwIcYEZjpQgtq6okaHjcdxYouLGYA1Gxw
DOGJzCAGykpAr3e1pDZIfIPnF/1BOBb3edAOfdLedhL24LxyHyQCIm4lDYKN3LrN0BPOGjBW51Fg
Es/cuRZANdW+CgYdq3csSckSNJFVTkKOIxxCzoMO9x8MJ51w0oVp9J99AJgHAa1kjvXvRQhNvwgb
oR3LMRT4jiH9raYK5AW2WmcOSBInDZCQYd3ESnfjSkxGacbKomFt7XtSzGB6G+beqABr+A6IjVHC
NlrEpPDsgEOFoWgeVAnliHrX3foS1AHtCi1RI/EdlL/G5SCRHrof5iujImeP8gu7gmE5xW0ABWwO
sii47PSs/3TKCoR8LTNzVAeMVEtgYKsMnwp3PCYcMra0FSLEXthtlEoftio36Zgr6YSo1KmegkE1
X+MDU/zs1BJNl/YHqwpRAthaIsVPEYJl5E+kUcYx+/LXGEG/IljPlF0yVPXaDY5ncNauOwWLRvka
KBiVinLdIk1RshEvNd+b0l1pV2CeKyQRX+MFNcWJ0FZF5ZNBiGqFMsu7xhAOXwXo0/q3QYMEPoRo
kcLS1uanoEEbmhmVG06HGAiJrFNnnm3rc7suGnp0FEy6Qt6JhEwexKv82IGrJbXZ7/9O/OAURvkN
RC6mVA3R8vwPgwhDdrpl7xXGDnXFusXad+uNBVS7r4mEhJuCf58qTGtdlFcHHeELaqjxayyhnyWX
/tdYQk0E2YcCbBt8qKmZCBF5yyZE0UWaB2WCc01mE5ZWjItpCteBruj3gg2rnQ81WHO9EO3xNaQQ
/rX43BjoYppTUKE6cByY2x7OxF/TCiPbcPw1AelFjU09e/mjyELbqON1MzVLuFwsoFLavn5ILUzU
qMzw3prot1ALKwBNFPveC7O9IfHbfYdFNaxwbxZ2SSlViz94SXxzCjIUStHOaf/Wi8IRKZhCxMDf
pxki6CmXRuwizY2SI8KodO7qtChUsEDMAT8yFrXlTC8k4/lHDLzlhj+8p8ybV59ECUN3FqgxF1c0
TVGr+zeK4oSHHL8RAFte9ErU2fa8NCv3Lm4jsYxtS8vnbMHKVWZ2+a4mG5lTi949RrY3fKmUlKBK
3U8XUexZqykJnYU9JrQy+ERMLH00LQdEjAtCwDzgjlZ+0eV0qAm08TemrnZfsKks9YL91eubp1LR
OZy0ElaUjgnlArzKM20MCsxQsfic6tQ+EDoLJE3iWe9s9ZUD8V/jpvyE/+Pt7/i7ySNf71zyV085
GNckUf2QXfKX/qdfLm+//0F/Lcrk99Qpp7/UKUjlzz4jgUfatJ+53ZrGmWoaGqIIgpnkw+0Uoj9C
otMvK/qZ0GxurvQnXh/STfCwfDNIfzQMf/4Nfxvz8tvP+bNv8Hq333z+1z84d2vcZr8z1vztUeBr
CkdFSWO9fkvEN9+OgnYmTEEaIWSXt+f9jYIhkNf81CgYzhnhNqqQcpzT88Nc0KhWIEPSgOW8Pq91
k3c0F1zyd0gS+clxMPUzkmzwQsmcq2+ngX5G/YYqDuqtdzoAsI9k6emnpgFfH4YQmjKbtf7t16ck
hUDN0Dk+vz5glN7Xu0AjBe5nv73GD9nVCcx7m+U/DIJ6hoGOiCECM9+e1/F+R6tAYxULU5YAf2oe
GO6Z5ZAha+IE/G4esGVwmUciyGx4fd7bPDA1W6K3furrmwR7ufxjiFPtFuTYd6PANNEdSqquRIrJ
5929DN+mAe+wnxsHmGuMgqGyA54eitTfvhXMM9VAUYkN720yvLu3AspY2xY/Ox9YDkKjCicY19Pz
/XzQz1wLx8uva+J1+b2r18JvOx1/96DEINDMM3Sh0bWQz/eDoIgzjRwiFIpva0ZmT7+vLcIwbf31
DPvaPfl6AP8bh2ZGgXqmbnNqfpvz3y8J9cySZ2ok2W+/7L46v9/RZPgdN/rfnQtcHXRXN2Atvq2I
H3ZK64zDAj2srxvlu3xDOgQo/+wbkjaea1omh6/Xn/cPx0bjjFRUTQjO1q/P6/x7R7PhdaswXmfp
f74u5JaJr4bl//b88HYwz6RRAQLnLwPx/o5OCFx/cjbQuTWFQRlFvN2imF7f75f8EuOD8Oz1+b9a
Fs8IPcBuX71Qzv0u4pQ2xF8bgx8+4ZuqgipfkLwBfzkT/GZFWLwhqWj/B2PwF5bNGwP3OXl5rP7n
fwEAAP//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plotArea>
      <cx:plotAreaRegion>
        <cx:plotSurface>
          <cx:spPr>
            <a:noFill/>
          </cx:spPr>
        </cx:plotSurface>
        <cx:series layoutId="regionMap" uniqueId="{DE8B175F-7EC5-5A49-94EF-AF33ECB61F29}">
          <cx:tx>
            <cx:txData>
              <cx:f>_xlchart.v5.14</cx:f>
              <cx:v>Suskil25</cx:v>
            </cx:txData>
          </cx:tx>
          <cx:dataLabels pos="ctr">
            <cx:visibility seriesName="0" categoryName="0" value="1"/>
          </cx:dataLabels>
          <cx:dataId val="0"/>
          <cx:layoutPr>
            <cx:regionLabelLayout val="none"/>
            <cx:geography viewedRegionType="dataOnly" cultureLanguage="es-ES" cultureRegion="ES" attribution="Con tecnología de Bing">
              <cx:geoCache provider="{E9337A44-BEBE-4D9F-B70C-5C5E7DAFC167}">
                <cx:binary>7HzZct24suWvOOq5qcJEDCdu3YgDck/akqzB8wtjW5JJEJxBcPqn+9DRn3B+rFO27JJl2ccVXdFx
HXF3VcmlzSmBBDLXWpn0f1xP/7gubg/ds6ksKveP6+mP37K+b/7x++/uOrstD+6oNNdd7eoP/dF1
Xf5ef/hgrm9/v+kOo6nS3wnC7Pfr7ND1t9Nv//kfcLf0tj6prw+9qasLf9vNl7fOF737wbEnDz07
3JSmio3rO3Pd4z9+Ozk8uzR1fvjt2W3Vm35+MTe3f/z21Vm/Pfv98b2+ee6zAkzr/Q1cy8gREUxS
yuVvz4q6Su+/D8hRiAWiSIXo0wd/fujZoYQLf8aUj4Ycbm66W+dgLB//fHjlV4Y/PHBd+6q/m7YU
ZvCP31auOfzrf8OojaujT4ei+s761dXH4f7+9ZT/5388+gIm4NE3D7zyeLb+3aFvnHJ++Nd/uWev
Du66/jxFf4Nf6BFiFCNCQvXx8417OLgHUUXu3UM+P/uTex4Y9ez3Zyvv7OHGfD7lKfOe9tV3bvPI
cd8565fy4tlhOHTd37uzOJdIYHG/g+jXGwwfccYVYQh/crBSn93zyYNRXfrK3Bxunq3r7lA8u7l9
9hM2Pu3GH93rkS9/dOp/a4d+z7iHkfKrc/5qpERHVCGM+Gd/PdqR9CgMGeUc46cD5pcg9n2Dnnbe
lwu/sv6/e1T8cx3Bwj093HTm5vP6fir8/MWshY6YYiHDmD8ZHemRwBxzjr4THf+icU/75cmbfHc3
PZiFX8qPq6nvAALd+L8zNlJ1hBWmhGP2BVw8BB/8CIdIqjv88ekDsfPTtvkUG3/SqKf99tXFj/z1
1bFfyk/RwfWmKA7P5mcnt//6P9XnCfsbNhs+EiEm4I37DyDBh85iR0JKjtAXKMI+P/s+kf0Fy572
2Ldje+S2b0/4tXz3JdW/OhS31bU5VH8jEIHNBomLCMCS90jja/+hI8hbkNfUfSxVSjxy4BPmAaj8
FP/6Qw/Y92es/o5v/8rNH7v9r1z7S62IzaEwsAw+++Fv2MQENjEXQgogCg93rzhSSClKML1fHPzz
Qz/t3ntLwN93/7f80KSnPfztHR658dsTfilfRYf+UPiP/PQhtPtqkH8Va0LIVfAP5fcJ8OuQi49C
IkPg5hB1P37g8MP0+FMWPe2sB5d+NYA/fntw5Jdyzz+7Q/p358MQKyIUk59m/9GOQkccODsTSt17
Bz1KiD9h0dPO+XLhI9d8+f6XcoyGrHEAaejz2v1/D3KQ6TimlPEHFOxBrCNHKuSS3cW7L4nw4bbZ
ueLgnv2MWU+75/H1j7z0+PAv5azoUPWH993fmpIokABBKQIZ5OMHYMcDbwXsCFEiCSKfCfejzPRP
39dVXf7rvw532shPGfi03757o0cO/O55v5Qn/+l6D378G7cdo0dEEYqkvN93jwJieAQAgyoAofef
R+nqvDOAeZvDTX3nyJ+x72k/fu8+j9z4vdN+KS9+YTygw58eKqg+/K1hNJRIMYZgxz3ckaBJIyYY
/jOCfn7o10wv+Cmjnnbi54E9vMcjBz51yi/lvFPf/a3gnkpwDEGcCvYpkj6SJvERk6GCOHoPWNCj
DXhXZwGIdLf7/r1pT7vtiVs88toTZ/xSTvtndQMw/xrSzedF/zcAFnHEOMWh4PeOgxrAww3HjuAQ
BE3yANA8RCw/Z9PTHnt47SNXPTz0/9dH3y/TfSlixkC3Vh+rnw8qdT8++nECoCb76NIfFVE/zfLu
5o/fFCj6kL8eMLi723zFtx7XQr+67Bbkrz9+C6DcI+5EFqB1nAvOKcTW8fbjIcBBNLzTZsDNFBzO
4VBVd332sTzLmeQCikQ8pJQgsMPV/uMhfAQXMEBQDH4g0Eq/1J7P62JO6+rLpNz//qzy5Xltqt7B
jTncqfl03p25IecqhHKjAMMIEUTc6QTN9eESCtxwOv5fpHIG1SzLteW5WtulbjfcYL/Ky0adlLOp
9ejqzULIuO6MHPepCoaz0YxshTJxohy96aVi2551XrdJFTtc8fOwKKVeJmu1CcW6QIGNi7zhW4aa
Ar7nb4bG93qsZvTGTQitWtUsRBtbl+ukrb1e5BK+HqaR6pnTeeXDpl2rrrB6YWF4UnnjT6ehOGll
Lk97MZ8MWZ8eZ3UWvGt9yifdBobqMnXBLnA8jGSeB2c5c3bXq3LYE2tkrZHpeSzGcZNb+rzBBVsZ
HKhKJz47lFPwVhrxuuaL2sy5Xc6mSvk9GsdiR9PgXVg0JuZsynaTIEOULJWL0iVluzas2Krgxq+d
XLjOcFjrrOA0wobX2ipr9JJQc6KaZjz1pb1IhzrTaYhWnfVpDHqdWRHa11HfTidzMNfrmaGtETk5
qRLWaSfkDPOZzResyedoGESvubDvAj7BVzztLlHR23XWSnI8wphOHCmSjcNURmmRL2d4dCZKkk6u
2qyRq6lz8riXafd8WAqxytI8020dyrhuQ6mn1r43eTlouXij8cRCzWTWRF2KjrEd3vfSL7qYcB6N
s+ujMkU0Xnz3oUsTmEaOs6iSZtJNtZi9IfR8CNo8Svi8bMDbSVyocpcFE9ZdP+zruRkjiftAiyB3
eqnU284kL2UrU91PauPLAAxCOdYyJW8bTm+VKsNV3c9NNJHpZSLUZWVtsFPFcjnilEZzJcNNXRVM
C4mXCDIl1X2SixgNKdVDVuDNhJPuOKva95TVdD9kVSyrw+L8y5z3RJN8crvGpnxVzLmM+zrd5bTa
zvDjXYe81XU9nU7LkkeB4lXc5eObIalabV36nLThCzzSl9Yt9VoVfbXJUH3ly7TYlQonWlR9vp7S
vFkzUrVxWeWnjk+vpe2z1dwFyUom9BxnHK2D3sICQWFy3Ity3RvDLqoE8bgtzRhqnoVFhLrA7OZm
rpheiJO6rySP2mEJ9zlRY5x6V+9R06N1Kuy8wf1wNQfqXTEPMLrlddsmjXZdeh0G6UvVjcuaV4JH
1HSTDlKR6iWo3SZwodceD0mUMCQ3QqFeUzftK1QsOqgZ0RZNs66bBq9qOlY7jAevuzrtddkvfeT6
plnVku3nruiiwLZp1GVjFdkWrGYoTS54Z83aG7OcElz6NQEZZsfL8AXHptRJWibahoxHUjQTrGq+
lLo17F2TVV7XRbtvBQs3C6XFdkjkjR+GVPu0aHSXSH5ZuE5Gsl7oZpzyKmp9X63SkWQpmJ6/Cuox
0TmeXtNxkat6hJ1g2VBFQRK+WsZAbbvQvmhShrUaXXmG5jZ5rvLhqpHCr5rWhadT2Po1npDczx6P
0ezVuA+FGjcEZmClaBe8d8NoIwThOMJibFYZMa94OM46TVMc1amkm9nViR6RKXTpsla7KRyinhC8
QqQtToYxVWsWmPY0GZzfTJLdzniYdZKMZE3KvHpTu+RV7sPwqmkoRCI82utWpTcLmpM4wUMRi3mk
O0Or83aumrOQJX0E4cDvCZ2DUzm4THM/+nVZlufYLEU8VWDQMgSJLopin2d3ptCZxsU45xuW1vW6
G2ixkSF7a0lOXvRLSC8hlqF1WJbBeqytWhchoZetHdxmrMNp249DoN1Iq3gKUp5FqIf7LTQxuynI
l4uUlfStQz3Mjxrzt+PS1ZGt+KbMC6RZZptXqFE0Sm07RER1p45Rv0nS2mokZht5P6cQv6SMy7RN
Vi01rQ5IjrYQu+Z1Hi5jNFHvSz2jcMeLEsfjWGLdt9VwLgLZ6NDZMGpZ9z5ni811Rjp/1Ylq0ITy
YZc7r7bc+7e1cupc5V0Q2YyD44rGOi2arr4QRt0UoQt1b8b+vOtY8EKiIj9jlqGI9Dxfz1N2mvZD
tpFqGi48mfBm6ZKrLpebOjBuY9sm1xMXRVTy0mqfBzJO+6KOq0HERZZOKwG7a8wghJMei61vi7zQ
QQI/HE7G2M0Ba3TSVXw7dgXZVW7MXhc2wbHJeBE14ZjqWWSlzkUTviqk7CPrDdrTjnkIp5LqaWbv
kEyiIA3zlTK+fWs7Kc5YJxIdKJVuzGi7iFbgA2hj8+uWFbBdPaxFP+VdNDhYb7ICe7jsZ734rNbM
zVgj3BeDhrQA5grXb62YIENm1XLBwsxoUuEr63N8yRh1cZkUfiXcQuOK2yqGnpl1x8dhFU52OsMT
bBw8Le2ucDPZPmwW+wojXdfN3Jk0u2/R+/Lrf76oS/j3Y/fYn1/edfj9+dvp59bAH561ua3vOLJ7
fNId4P1yrz/71O4g5pemtUew9VMz4Xcw7Q8P/hzgJbCGwx/B3SeY3J9w+f7qe9QLWrgErIvu+mYQ
kFAJUvg96iVHlH2sSFLQ+EBSYABI71Ev8FkRSqkUl1Cv+ghtP6NeKo6oIAzUdS4AM0NV+q+g3o9d
jl+hXkExdDjKkFOpCKcMmPFD1Dukth/aFr9HxD/vCtdsUc+cxrO4poYPpzwpYH9X/MSN7Ia03uum
TCTkqfqcYxvA1qxriNJjvYHU1awcIN2Y9OX5LMiedVWvW8XyY9u0L/AgpQYC4DWq63C1pK0/dpWS
u7rupx2R7px37mxpy/oi8d2aGkhxixteDZ2Kw2wo14Cdm7hSSq7rZJmipvaBXlxjtDB+PE09m7dF
kxNdK1HpnraxG5W6GpV4mTXsmGSiiduqozFK09fJ0pz3BT6RLJAngrVsFQAUooPPd1Zm403DuI14
F+JIDgHX0uTrxeDLMEjGSAVpE1PeV7rz6rZ07W1FPdYYmx4ymll2GKUnme9xnFVd94JNzQvTtLUu
PLORDEyjbfWBGnHBMMr05Kc1uOCK2MRr4RAMZ8jfOSvEsUrRsjVdH0SKwTAZGrEuPUbHgqtqM02m
icseDqBevPGAcws99a3QaGpq7XK8QLBOw2vaLl6THr6bBn49Eeb1qAZ5YpO8WXUEpm5ue7IBCIc1
Ky15L2G0u5b4ZTeqqVvXdbcJe4T1knZnE0u1LCZ/7MfmA2bgcVham0LYYsWKlO0nIq5HR05oN9lt
HRDAhsql/qLK5BtfzLtZ1udBningA/ik6fJlV2b0jUtxflxMbRAh3LwgJIXn9+x8gKhoF2l03dFi
L1pYkgrWXpDZWuewcvQAoGKX5Dnfc5FNe5tWKDYLtscMqJlbI1a4KWbt0l6jFIO7WuaDNQ674MBm
3OnRl9FsZ/9+RA160yq7rOqylZcjFeEelQE+zFXbv+B9bW4RxbA0loSctNblEXgXlgZGzUmdFmjb
pksG894u67F45VmZZBFz7fKmpD3fkAS8hWy5bExVdFMEaaBbSZX3u1bNsxZT8qqTtnS6H0JcRnbO
+5Ubq+pgwwaNMWqJyjU0ApCzNAAIRpzLt0nZhvE0kHbbcPu+pGF55kJOWNQW5QT0KsHY6bkE4Dgm
GMCdydv0lIw5ei6z1KxKOTNYUANXWWQBF65N0IZ67Ob8YILObQoyuVZPgBW1Ry17Y0PfvRHhjNa0
CS6HJpkukqLwz1XHImCA07ldennqg4a8ZojlH1KARMe4TyxQnjpZiSQ3Kz5P6OVgPT3JXEbiCZdi
laBctpu5Tltd24Uej7ymF+Wkei3bkpyWY8uPWamWD1aStauGY9j055knS9T3fRDPgMiOrRhQlPTy
ReMCBQl9GmIrsucjXbo4aUWoWxo0ZziFjJuFCdFKzJdV2RereppXAzQ7RksPYJ4s5cVSV1VEi2ne
tY41F4XoyvNF5mEUhPKt9NOyrkSbnE2ejy+nZOZriSdywSuY/o2jd6h0oemrtMP4gDwsXj5ie8FD
zxbt+4le+6rMdJKrkUcAOdEqrdL5NcLU7GcXDm8Sw6jS2HIETLYmr1MECD2wU7JXU1Nuxz5Xx/Cw
9jkANmATTeFCiAx0OM/5ULydFpWvWGdGAK+N6SK1cHvRBW2zEsbRE4qITeMAY/ZyRAM5szivNIaU
FZOqfitzsgDI6/0x6BhXuFGN5kBoLsesARWkIfOqkeR1U2U3jWiBQVdwep4Uwy5hPj+fJiA8bV2/
9TzY5GKcX4wIfGbmcF/WYv4wOZZGYza6qKymqtF53o/r0Np0j4e83qoqgaWAcR2bBkDYnEwzsGSB
Y4UAomFMuttOLB+WIrXxkmc2loUEblW106oiExDDHPVxYhFxKx8Ad9tWpiAQp3hYjlEg8GvY8uGq
owtbLdiYVT1zdlnKEG8FUNV+gwY00PgBIHhCTgLF6lFavWtQkBTiAihajAGeeJhWuaOLKJA4pDR8
AxWFNzMh1yBuvcnMgPX/wLTvv9zxJ9ACSRjmmIFi/OWFj2+EySdbVJ+6xT1cgwJPCAIkKJGIMoUJ
Bjh0D9fupOi7Qq0UErrWOYFi7WeNEh9hUDRB2EQgYzN8h6HuNUooyEsJ/FYxJFQoFcC/z7j1K/wN
2uwTi+ru6V+tKngwCKVgRwidL2GIYOwPV5XpFJ8zzKyWxKdvlZfVvjSJWvHGA9emPd6QmbutN9Pg
tGv5EIUM9Cg69tOnRffpPZInTAkFlFQe2QLdx9AyF8LY7rqn7uTUB3KpT7MqS3JqdElSMUd5QMy+
mCB7zlm+N6m94aSaPtSUVxFvByujZmwyEBAk1giBIgjBVUbODoHTU2L7mAwo3TVtqnTa5kCoJhD9
dKfCUJetymIzZaCGFoEuxsRplS27tkhVFEzp2w4UvCidAfGhvKi0qd2+ZuOgG3a5tNm6yHogv64+
kKZsolaG50GBfURG2axF5UGDYZlaq6ayEZ7KbZjZNyqZzysMwTpv/JltZhJhL52uWwg0Myu7KAmb
W2mKC7TM24DlVZyX7LhqGk1l3+xQVlYxFbhYYe7ndYfD6UVQTc/xPLVxU0JmCJag0ikDBZGEH4K0
OrUDp5Ass3ZvEDmuhvpcNnm+C1K4SZ5KfLEkrr6Tld96hYo4F7RfKdBgIc9zTeuGxHxWRdShAr0Z
QVuxGjRqpytJ6lLjauqjJpvKfYiS7tzU5ZUPzCZxAYsnUm65Ta4n2cIkzG5aoZmuUTuIFSptpccR
0JhEhOs0d25NJtAk285zSJ+1W7MuUVHduu7EJD6MSFq16yTr349Ae3U719W6nufmCoHyG3Wc7VsQ
dzXJkoiXqDk1Qx3GPu/yLVIlitu6KGHV2hcp6tx6biF+6zDzRdx2BKBlWWQnqc1MxEODN2nYP8+T
uVwNQxnbvLkxA0Kxn8wtSwFi+yHxKzmA2ZQ0vXZ1bU9C5btj0mT9KnOLi7K2CjUpl+yyC1tQz5ds
XePFr/oq6fe0DKsV6sN+BYBpeDmWNWAwmb6e5VBH1NlCmza/JEFI9kWdv3VpFxx3Ng/0bIHlJ3dJ
EnZntyLKG1iWJZiQwMBG9GEGSLufgULMCuQVmw1v0iFxx3VZb9p+yp8rW1a6yadblFWAmoIwjdAM
1yfIX6W5mSNL2nbrSXrTcihWFKQE6QsVVWSYGGNhQVNtQ9RuRgtJd4EeuzgoZPac5ag8h2w1gHrE
6DFBIQLsbTnIYLO6QgISus0UPU6bXJ2RIn3FXfGaD1xoopbNNOMPiyTvQKnK93xk9nhq82mTtGht
bDeuQj90l64r1TpI7QsTlgZoAp83qejGrbM+Aw259MBKAE4AELhAZmArWw3t1thQXXGf841XsHjo
xGqQ9f1aMtHCuGypO5nRNUPurOSh0DMTSLcZxAoQnD/Mo3OrYEb7JW/xbumGMW6carZBOvaxYYvc
2qYZtiwnxZbMXbfnrE6f57mBoGMlvA+1lFE31MesElnMJqpiUlKAznUTtjCNcFprCOirJAmgotGL
eAauGQ1VWkZ5YrYWo0UbnC+nLQx3M8+pWddF2u+IFa/R7H3cjjwT0UzK97Yqb8bG55uWMrdNAmQv
RhBogdaOXGPZuedCNvXKLaKMoPJSrjlqhgyoJzt2FI0rv0zVrWFFl2gCVZYNUX144VTiN+ECLKuF
4gOUq8ge182ybRVdjrssBJ1Shk0kAOuuIVbv51Ik8Tz3V1AMGWHSloMA5XszdMEriouhjBoLW6aZ
OnCAK1As5VyspnIyMaD3TodjEzz3JZWxsQRqI3YZXzpVuvOxMGjNEnnJWTKfZrTJQRDMzMqwoTxN
J4BImrH0ZjJsM3s2RJ5BCSsdmIpGn1UamEmyAoomNxnO22ObCRoVgc/joWGRCuclzpwtQWRd0iRu
IAW+6DigU+qc3JdAXaKxKHPNWRNEKVQQIArPwb7uRNboaiGhriZc66XsZWSHlO/GsXuFCBs2QgZY
Q2Glg5BmOcjTNIwSqCSdggoBI+ih4tMb4GgwF1BRCOyLOQfSQGaTxd6fTXW4rkWzr5amiVzlsOYm
j2lTT7DHpDwzcye2U4ddpExvLxrA5ms8DruxgAeWons/9oOLesRl3LZ5uYbtN21H0OZjlmZ2PQfd
+14VXuMxRNpBZI/HcGIvZA+YfiwBTTM82AgEFqShm+W0Nc6fpB78x8e75dNUxbqcc3TKLeUvR5X6
t5bBOCAvmNiOJUx2kvD1BAr/DnWgUhLWhXouZAfLfwYSlbylI2bxMjW40SahyQb1vgUNVnpdZjOe
4QrjLjyCUJtwmFzeUYAhPLxd5PhyJs2xScW7CrJm1Ms5O4V+XrnKkkpG0+jy1ZTLA5JtsA6hP0BT
oMYnKUvzN6nK+dtuGLZFMWYQByBUU1AatOiLfmf6UsZNQkTU8tMqEDnwA9D/RU+jelZIgAQy0jfw
ziHRiQzLUwapNLYNvkga+iKA4kKEMsy1G1CxK5bsucJApFvepq8Bx7WbYEAfxjJP14WEuqkrQLfv
aZOucAmsmHjaPw9qO61BSr+YgyGIunDOTxtiQLlFM6T1nNTvCovtS6B/wy60ZNgp04Gky0EoLgb3
vkiHq9R0UEE1OewnPJiTZeEJ7HNqL7LF7qB1jb/NK0hzLc7mFVzTHHPePicAS2ERtFNkMEpe8aJw
UWHh1rjBySYDNe0EZfaVMyxYE9IE66kXbptb325lYjqNYMdfLNKxVZ4Eeazc1D8PkxpEa2ST5z4s
2fN04EzXVFwKS+ptNqkp6mmVnWU4WyJchu8Hs7zuffohmEQBSgeASiVgk5IBCHtWFXzd46XbdkWz
483AXhaZsptytPtCAvxrISlEbpZnUM2vYK/25zkp10bwULtFvlsGMcP8zdk5YqDqA0WEWwZjjDtj
N6MnV0sNKdjO5ZZBoTWC4zVUnOQrS9jLmSoYUb1AYjCAHysiz2UOZPEuPQ1qMhEA2fJKzpDdJgnu
XtwBy2mfMhHoLICIKBM3noCAN8HQ8fH/0LOfomfAiUDs/j43+/athwfE7NPF96yMHwkKCrmSUJ1n
0JlB/xTR4dUeePEK/iOgY0N4VnDoMy2DlyAldI0I6Py6u4YCg/mzdUTC31nApCQEeovYX6Nl8Iiv
mRB0u0NnivzYFkiovGNKD5iQTEW2VN006QnTOhrKrtlMXWP2DybnKcb1+Ckc2GV410MqJBR+wjvF
4cFTyoX2RduYUc+5sG+hsg1S0kjZ63ke2/jHj8Lo22cB1wXOKuClNnjN9BHPHHofJn1RjhqwYQux
MM+3TOYoaoZqGzQ0iEWVThEU+y6aAQ6B3v1jA76ZUY7g+fDSHYU6MBQ57ux7MFa+cDE6D89HfJav
xFCTNW2Lev3jp9wtgK8dB4+Bd9CxpAJBw2f4qOPHcYOUZ9moTcWqqLYwpgYBhjHztcP9SY7sAvmE
nPnMrhCH4ntF7Z4tyeWcipOelK/7ZIrnsHnnx2zraQvIcJG9nopTXlZSC9HtofcCenUARK6KqdmW
bBijJlE64Pws6bqXho6Hyc5QVyZ4W8Ibv5rIItM45K/yFvo1zHL177k7+abTiSMJUB+SoBBhSPgj
93o0QmU3FFCCrKFMrFS4w10TBU2XXYVNR/TQZEKPQFqiCbMzoeQVNBcYnS98w0T/pskBgtM0fRmK
+r2CyqYnJbT+JOwk5Umt07m+KhAwOZzsfuywJ/wlEYPXZqGNDNq9Hndo5TVrsUMc7M67dy0ONp3P
tnWSxdM4bkeOz/rBXP/4keROqPuqKwzmCktoHb2Tz+HNikdrhLXNyJNqGvSStRakCHY9IHaScXGC
m+HCeKiIYWnicgLKVQZ9Drybn0Ob1hsLXRj5NG4srJuuXIZoUoDbnJlBFAAhtg1XZhhfdQJSLpnb
uFbTSd9l/8Z8fGfeN+YrEkJfHQuhyvdIh5Rt6yEGeuhcKmgVqT7AUdsKrsfJr6ywEUsBLg9SXdpZ
PG8NNMAYz0A4n+WHH0/kY0EU3kWXBJROAaoa1C/Duy3/YEsD52l6kjQDyMbknDh2DsUvyL5UvUcN
0OYfP+yphcJAIIOme0IF1Fe/flhAOmgsuJOA/i93Z9IkOY5k6V/EERIkuFzmwMVWN1/Mt4i4QNwj
PEAA3AGQBH99P8usnsqqkZbqkr6MzCUrU6TCw9wIU6i+9z01I5IJn0fvky/pteflbJtzC/4mCet/
UZ5vn5l/fKNxRsIsDUErximuon/8K206K20FaolH17JJ5CFJ6n0zTHkdDXeYJis1ZHm7tP/irw3w
GP/5b07wO6L7u5m3qGI3h/mv7yxKCRvbFiIH1PP0JWkJbKxl805COHMlDAJN5DMiqiVsk8M4ueQ7
7TL/Xqwtf7dBkj1i9uGoXE5rNOaTvdumxfZ5mOh4H1ibgE/KFthFIFRYwQUdjnMv2WfW9BOYt9lT
ICDC+TCTqDtN0RTfrRrmUcP7JG8wtNg8mob+joEWRA+/tOwks+k9DMQIO3gCSrSYETIUj8cD+mj3
0MJPOg+D8gsKxXDLh5hOx3FUDnQKn+9Num333jqv37OIT/vYke4RQJrEo5bkS28wkItZ9Lth0/RH
OGMWTzvh2tzXwYNpu2CvvMG+bpCIRj/c9S2dH7QhECiYDrM7sH+/YIR6G8ywlLxILCbadc3cV4gF
9HkatOLIkrUu06hdKxAb0b0XmkSWAWayfFOQ96KFhvnW4yXlxs/cdRbZS7fqrwaW3Y80AKyiMSxD
+9BeGRuMNPnsx/SUrdK+ziQ7A3idunzs6mUHVAnyEwH7wqAOvjlohAgpDRZnzGvGfTcNcFFimzxo
NcWFXtybT3U1g5A7h8zi3U1ncHGytsXWBN4Iu1S5ByLn+GTbRL/aBJUJxAI9A5gb3oImWyEBTeI+
6jqvXIjOKsZGvIwBr0DQcTrTbJ5LuXjBQQ/ji1LNO8xIVQI+XX70freAysy24T0aa82A5RkPbxa0
IEw/RD2lHLqnhcV1hdLQvdYLhKecGQfQMoYQlEcDBl9fDHwHsuXZuA7ai2VNkSo/zR3ANMwTsjJ4
pFWLKbcw0pdwAEN3YJbTx8XX9EoWwfdzM6sqi7IeTjprKyCQvFBqmU+mFtkZ0oZf1TEcR8ZT2NPL
OGMenRkIWNODyfXXYNl7NgamAJoJ4nO6MpNzT0en1poFegwXhWs9W00sgg+9pLRQIfRKa6c9/jd9
gcs4/oD1ZyHjDd78QLl4UkbPh963zZ3ym+YYq2TZxc5hmmtp4r81dWJ+tkEviqap12cp8Lo7617T
BPP6uqjxRDrJioa2D0LUZy8iL7iBgjtnsgmeVuTvgGgGe4sWZ6ciAFQeU14ZKV8+9G3UVNwT2TcN
tatk0dDBK2OgAU3/s1deehzjlVTWN72Cm9J3lbXUgY6yr4GidK+g4OVx+9kPozk5Xcf7jLANwsy6
XLNIJGUfpOZJJMxcGJsfw5TqvEn6s6Zr7tf9AO2rTp8Vryl4UchKZGH2l0uh8kD5B2IGWRDurRRl
N/rtKSWooCptFJC15BRGLDh7XtKXmyB7I/zgxzgF6VmIMYjycV783Yr5doMfXTHntTyHMAvvuKX6
NMJx2+kNE2Rfd9nOMYjlIE28vOeL3aeTi38sHLWRa1rVamouWwveEApCUyQ2CPeoBFkp4qW5hF0G
Zo6Y2RUod2YtolWFPwOo1mvGdYk2C8bBkhW1GsejaVx2NwXm0YDderdse9g86x+jFW+h7VFDtgWs
Y0ls90uz4GXp1CHOVnJoF9Y+eSGAGbCDdO+Av+aNZrLAvjawEW1MDkso6R6kQrpjca8qHZkv5zOv
9JvpvMDXzGe7nR117R1r1uNsojZf+Sx/slaHecKH8EGvmYK9SqpYL/ksxw5PyHuH4FsQMleReETH
W0bgVpM23Eo7DUdAlAVfx4e00XntOrzCEGhDb8D4ZRbaPq+8Vp17+yNRNiqXOHyEkY2PRs/f1uHX
YORplSBPlslH7V/rpzXsn+cmvR+Z+5itfVNduOQ4gFCMdFAauM15aMmYZ7LngNVdOaiYF7QbzhmO
CLThV7dA9K6HLMkBv3+bzfDl2d7LWcOSsmbbkps+vuox/CEgmhatlD8Ut+c12+5Tnb11kX8PbwgV
6XnKtpIPvf8nXAS45p5Tf99oWMYNuwBthQu/NS/cLF2u5uinGvWJxs3vZugPgLyPQxic+aLuk2Q3
pv21N4D5HKlIIzqUq1gWkQDlEAafCBi8rZ232+xYRA7cN+ku9XKS6ub1D15OO8dPJFyXPEpa9lzX
JgTeMoxlwtXBZX1drIR2ONrqwyUaPMTwCucITcaNJ4oidfWHND77mwcnK3mmlsVFryk9Aa7Y0ZuS
RzWetEV73OJG3Xd4PxxavsW/hyJZKhe8j2EIZqTp4ypM0meIh08gwEnRoYznY6KyN6qndz07XaRU
tfiNxX1GNEDMyYBPadPvysOrp2J25ar4s7/2QRGk0Mj90Mx7wF/9GeMxZNh4eFpYD21Oh63Yt0L8
vlmDebsCvqymNJz3bb/Me4fI7I5aw+EakGinFK5PE4YHaVCw9Rpd03pbKiE14HrjHrcR6HebhLva
m0w1eB44LCpZvhIfUUjMKrf4BAj3yhfTUIWbhaexqTgfDc/e8XQgweLsZm1uXA+MPx7yuhUvWzqU
Xj2ukOqH8DlecatSnKk9SKPTkvgV6XHfBOGP2kMP40Z1RdG+4j6Hem9QRDSj90viLacxBu48gv/C
ZWBR1gciq3GeU6BN7rGhEC61ARAFzBbmKDvaUdODv/UhFLtozROkUMJEMaBwAS0Dbz1nsY5L2yTz
DqDydYXBl0P4jEt/ioHzeusPSRZ1TKNF/+oSnt11W+twm4vnLKizsxiSQy/D3/HAjyGQ5D2NZlI2
sEmTidfAfvtvOpQD4NmGVInsX/g0vA5e0JU9m2Xh9w1KmEoqGvcHf6FJsSGkItX6EE/rNwUeSsNH
BfTnLD4J5rwM4UmiQzRL3OQ88E6eiZ89MZ3iVBzTZFV5PXvRr0HSdx+wxmxCUa1N71VDz09Tb3A/
k/5BWhlVtp8fl2lRebgM8F1xvQ1O5iJyX8M2NYjQgHuiuimskiDGbjcPQxsIXen3Njp2UAbdQhpm
BaIrdbEk5HMDe+2jpSwi4lUQuU9yC+/nrnkcInRCuDc/tkbuWuIKLb0qlXMADn5EYGc8NJl5t8Z8
S1B7ysQH1DV563u/tvWh6RscIUHPLmk+cFET1KD4TDkO8yBEcAitLPgAsMpwPy1XxruqJwwyMYPd
zckrnC14Jav3ukae28e+QqiiSTHpihpZEPcQjBnCGRvnD+vkx0XD02SHi16AJTf3DuGXYvDMay9B
6iwoYbSd693csx9dG7/VALCPXsKfMAXgTM79B08CV8TozxDGwRG1+ByXA21fkY/ANW6PCkGkBkau
m6sgRegiWPvCzfHvwdZvbO6zvclI+taHTVyNstMlAMQob1xdg+eiU7HVnHwMFL9Ztn4X4Qhjvu+C
vJP1Y7yFXg6faNfe7u14XJ6mTG9Fs4Gu21L61QZAeOpoRHIjQsQJXWQam1++5OFxCTQqwzYHp3ml
0MkzBmWmG6+JD+9wJfJBIzSzB8vxpRttngcS45VwXA1hgkbBYmTJJWpcYOeHzBfBzktriWuxb3ZD
L0GMIy1RLErva+ormBNk3FOx+Xu6wpMQXdcXunG2zCTOOCXTPluBZC8eO0K8NtvRq12PcSb7vWbx
68o3/0i1q/ekniMYViiMm3fdxDbs4DeIvBl86GfNPhu9toh76fIo8EixyujMx/5C1frcwCSUJjr6
M0HEic8wauqohrrkbNEEdb8P7Vs2B9Cdgo+NTn7OYQrmkKMe5Wx3URfDAxNwbsVpkGwETVC/1qN5
XZPgATCGKUD9/VTG58Wo4IdQQFobnh98zpLGGtiG8Z+njdhcWT+8p3gCb/iAyEOWGlEKQqfSILem
Mvur3sb7IV2DMu3dM3T5A5Crz80oh6iKuzL5vOG6HJfopUmib4uIcdeH+uhqi86WIMI0RdFSTCnU
gAWQGJdb8sD7EG/GSswOBbsgwXbN1NCWQxjREhGhB8ajrdA1bh+yNvMBoYP9CoLx1V/XXbp5IH61
eBgi3OfzvItq/ejz+nOiEa4mahBwSv28jRSGphitoI9Pkb0BxXIO69Mi8CcC/41iTWuaaQ+UvqPl
MG64njJaCt9kVZRBE+ra4EGDATmzQJ55vEC1zNjnygkt0d50eeTEOUlQ8LfawmRWFC19G4gcWgwt
kgYS2sj8CtQ1bFom4dbQoKSh2cceUIl1NBhnY8CcG98nPXIboai7Xdz059nfrjbz3iMQrlWsVFuC
iazP1Jt2y4IqJJrgPt42FMM1SMvJ3ISr7GUFkNKxLKmQpjoOq8bxY7PIxSp+dyb53vnf2ACEUG6+
KXg/puBdhC1qwQ5NyiOANz5G7br7CCkubjF0Hu42fllUOAP4QJuOYrGqsvXUsRXz2wY+vHQWlVZP
juzGVu/aTLDT5Jpywoa8fAgBkacI7ZQurPcDEmXQyazDmYJhhoYZNNC6XfBzk6qT+qBIh2BkG1Y6
5rwMlLsHQFFNFpppEq2ntouKbsFpcBhQcQmsBTDhGT8fA0/m1VMuJ3bHpvo7chN43qNBxVLyXvIY
filM12PNAP1kRpM8dbiZF3jsD9SY9yDxvsSEwTwI5VMjJkyLzLnKWbwJagnNiUT+5+DQZzl0m1sD
cgkqk0889O/+PZrjgo4LKYbWIAqmoYkMQQwVIUQYBLXqmxf4exRh0FpZALudxFXkrDoG/MUzJido
6hEDsY9z0D5sq+N72bSkYDW9zGLa1WuUY4LnBen4uTN4SLxjDsNJJx6kC661D+QbC326U+YhqTIi
DgAzjtsCkU+Cwukd+3jIinaA0Y1qcQkteKl1gIbTU/mRpl2XJ2gpDq6GRt1MmEgTwAobA4qNNhXi
OddnqGJj0a8C/qN+b+fw64+ngIjelidqkZUFUT1NsqKj9xDFc111uh7KJFBLPvXQpgYlXyT83rJ3
EaawOOOFCLePabRHP+V9hQs1PqZb8kosmK9o+en77V0wrzZn7kZ3pUSXGeaUJBifw3kTBWUqxSgx
vtfBps/eHMxFN7JviEl9CYNGRrvuxWr6NlFMiFSjNZ/XkZRLID8C9Df5pAir9Kgx+bCibv21GGvm
A6g37GAcGIzJMGRh66mUq0GGIZ2XfMNMlE9R+22cGUCVpNf4MV18rZGb3YcCHWm/CLvPWgACXbc+
KWFEMTWiP/ENSV0WEiBhR+UhUBgPTBWdbr8HlpbERxwQFMdCpv7e4Y4G27vEJ2k4iH9NruMG/9Wr
2/NINq9YTfTeDYG5rIMA0oyf7I8S+bIwePSb5PeommSvIuHvV5PVOLwzBAD4+0sovMobgq7gZHjd
vAZvWBgc1yw4krDW19Etd2gno9zvArVLISc1EQGxa2yBqPUOScc2R5SZYfYZrhkaYC9KDjF+C1/W
IK+5PNBmkhg4tzIM07t6kO1ZBNsnRnzM0PhP2LLprgGhta3L59aw6cn3aVOaGEE0U6e/t1sGDDRN
blnwKI37wfn45m5diwntZdw6jjDbj5qz/Tz0pkhElIforvIBucqKWzQwSfuWuLbPCUX4mIe45LAk
HNWDp3ecZyRv6fbZdRw/cNJo+pDVHV38u08WVrjJZ/ngoaI3ET+I3jvyCB/qEOLBardvE1Oy4tOI
ttETu64P3jaJQyYtoCj4eVdoG1sF4iPezX7QHTWFjQfYY9ox1KpVqOBA+/aczfQpgtCayORe6AE6
Q/hph+wKqexQd8Nn3Zjvq4xz4P4lNM0HZ+mB+skL8dj7IlI8mSQ8pqN8JFlwhxCCAy/QVcyj91RD
AghxWD0O2INIPKasYTFSnFnlc/9duPS1XucP6w8e8u619+Gt1yyMvhMPuq9SL2mnP5ORGJy8LS7W
LUGwXCG04640tR80TV4gTCwF6J2vRtbfmnHDsejk69jEQeGi9MtIgox2ABQp6g7hetQ6/gX6BfXH
A5KGqOhz3fMLHfh457bPaWynHOFO5Hg8/Boz0jhvseU/NwQbdgjbZjmjgIu2yCutSLZ9J+QZ41K/
4ya6Ux35Fi/JZWqWI03Vw7RBMcDOATzurbtaxcokWS/A378Tlz3wGE2NmA/ZjGOaOHHEH6uMP1fp
LeVN3HYO6vXgTI+CK8FcRKr9lk71S9gnSMGinBlSI/I4rcgmb2m305EIj3zIkDv2xcXAWURTnDxh
bYA+ULCMzhcvyaxx46YMieIselDtiD4lQo1fCAHJ1U7PINo/6w2jOPzFaRy+tkGoUtd+OWBXxn7s
1b0zoO+IWpCjmBt8HCXHXAT0RwetLPq58TDT6ewErMwvgI+UXrwcyBhe0EF8N9tkULFgTxHvPrIE
qYnZ/4mr71MsC4QMgPfsFrNtuhKR45+d1mdQcTK3NH4GT1yZhZfjOj8a7ZedxIAy8gUPtH7dpDgs
pL3MHRxwinz9FiBqA9wpB4CHqM0CbKrdwOquULfQen+rPYu4dAP8xe/ZCz706V6n9ns7xNNTZtgP
5LXxhthLP9XnCR35ugkfSEzylHrziNLJwjIRrPS78c1P5LNzF7khvNlAUl15+CnGZC9gdahB6Grx
WxxpNC+a3sdTBDwY3qcCxVI45Bjg6ncntSxjlfLbs3NgQzPb38Fd/wYI7lxnPkNvSu7BPd3TbPgB
WA3qTgL8eUHn3gpqiqavo+cJ0Ze90gKaQLx9Qw7JYWUELq2mDtkxler7FsQKJWrgJTQexIcQ+WBN
+GTYvOuihe+hBpxFqOFJexEgv+iW0sjkzl/v69maA0cyuNQiay6uji2y+PFD4we7GEmG3Nb8HnTe
yaPmtSX4/93GBgyjlZm9oPS8IT3xJYPgZsTPpEuuUMDhA03ZXMFBvFg0qzg1o6o84SX7rvFBS2NH
Q54m2lwm2Ex3DaTtPCLRUoq2exNJcISxgDi6hpBNmviDy+QbnIKX0InPcd1+11kcVal3y7ku1CsE
wo4QQJO4wsSriyWYX0cbvLfIppytUEux+HTYZZAUkeEAlrdBMwNpjaabslJ0WZzD6WJ3wcbBhiJQ
D6VBRwE5eIF0exyAutIThPk6mLY3GwA0vPHX23NjbPyTCQ8bCeqsDc8N6v8vErKbjEkNf5I4nQAF
mygoFnxTxH7eVojSfTTrw1Tb7gvxnv5JLiBCGfMxy6JS3WDDRv2cGA5UBxQLyklsMLOMwP0QwsGX
TBTUePEBfbPCfDnUT5Gg8gvNQfTbztS7oguefmRrnT03mKIhiiMuzMwV+e+ffYpGrlAr8vK0Q/wo
96cueYxDuXzZYcs+TKxJ+yfx8bdtMo9/GpV/rkP5a9j2r9nb//3fy/H+TwLB/w9mfcMoIXCH/2tK
6e8Jkr8v+f0Xu39v62T+9nP/BJh8fJUI1sP5N+QIKZAIG3X+T6zktsoUXz6CXZn4DhJys8j/DjD5
WIJ62zuNf9AMIBw89f/MlST/K41uWzaRy0C+BDLSv5Mrof+XX46kMYFDjwEQPxZUyD9ayK0dpYeh
EPZpPH2DGUaP6Uo/eSCye0qwpSKY+HRaOltXdbvuZzGP77pz8Us4xn4lDPQvLvzwtrYGGqJ1OO5k
Gac7l9E724TN+5Bk+CxNqv4aESB0t9rmXZRXf6JTfjXxDLMUO2tufCN4au1U/7nYsEESQejHbDZ3
2zAlr8kIt8nAm9kNdnRnrfvl0cb1F+mcg0FELYBO85Z4Zi9NPd2lKXxtYJW1OfJW6qG0TN4hIXrV
UWzKgMXZsRYDmktvGrNTOPXzISb99uSrrPneBjcDdw0gVnmct9e/nKC/fdj+umuI/gEw/ZUWSPCo
g1vkGgAO0jPhP73hfoM2gfjqkxiN8Crsp/3gNduOsST8QE6fX+MU6dzbmHdtOG6PefO9D8vH7q6L
qf9JevUZQvJBXhVgiS+TMb6XzG6qWMK5/gVKHJPFqKLtQJKlebbJgE0Evu3QbWIPQPPWR6kH/XxE
kqYZ/Zu9jl8csP+M2B+l2yF2U1Z0kksoN9Kp3It0Vj/SlDl+6Lmv35EuBh3c1v1bMxOPYB+Njp8b
a6YjVz6yyb2NMTXa0PuFhF9XRPUU5p2DKjdknsD+EYxaKcT8SzPUPrY9bN45kfh1DFL0ZQf9EX9V
eGFQEfZ64yfQ8S14cEfKLp1vMRqSVRL9dwllZEYEcnyaJEUrKWMg0mJiZQDpMmI3qYCERwx3fSVx
re9xWc4FZF+FKUYT+pSttDv3vMV5EPVQ3zEVe/CLcb0BJU8fsTbpNU4ZOwzMI1W4JEmuEmqvbAN+
DAsO91XbD3u6AByCdz/hPSd0TsuwQxgVfktU9YPIop0f2m0sle63i8AanDMxnsX8pGVmq3ki/sM8
T7YKRPTbH4y7Kc3VrKCkaASlK38i0xEE23BY1BrDecIjyMZwvZdb1jxOJDKnlU/uwjl2HI1jGx0Y
Zd+IuvkfqYxfga4vF18OmL9lmjyPo0P0ofOwu6QN5+eUZGhjyAhAKJEqBbEMY1VvfvrAvC2LK8sN
EiABvonnk1DpFQYVoqT4SfgtgVc/MexsamNuDgtDepqmU/wM18JU3ZT5nwHmeyhGzuv9vLdJ9q3v
bPBd3rYM7ESUihQdk+djMUafxieCF/auWAwSw2+zxJxRFjF8oC3Sv2Toq69unps3H/uXXrYoTBD/
1NtTetMVYqazfYyR4yms22AtszEKH5thIHWpM14fYC8u1wExzTIAno0lPCtsBT6AsAZsFr1A0TEX
afsJ+H5XYzKcVxNWVEd+CbD9C3ma4V15dkHWaayfGjt6+67Xzb6nwCcQNljxAqDAyBhCuUrXvdcZ
u6uhlsN2CqD3mTG8G6AfJFgdsiPoV3606y0BlMT8xE3P+mqhm4XjK5KdWuca+3WEOcQem98U4mjS
t96vqEYcf2cDQy+JhydUdzPkwam/G/F+fYgQiaEepe1XAMALWGYLQTxRWGI2JuZ2bnx12eb4gryu
j/j4nJ5ltr1EwGPvceB15RIEbzg2lvQINXUSSTHxOGPTT0480wKQHuWhSzd0k9gHsfTBcFnDQWEx
VsgrsfRmh/U8O3gYBD3RKHZMkeCaSXuSMzJdbMWqFcuVd8XAFbwlovbg+YQSMRCJfwERgHgSnJWe
8DdWS3RoofHvvUicSZp62KOCrwcLsgnLl+bVuXuHr+vaD7OGsTGn4kAdBglEYqYjNJ/hHJEAbMxk
g9d648NONvYj7vS16dyrcJku2Y2KWY1BKrc9cOPTPKTrkcIJ/0VY790EF2hu8IoaCCe4xUHJwaZe
Fig1NzUyg5BgAuTf3IYMgwgzLHPypubJQgp9h2zNcqyLQvIFO9YwEvIxzjCZiL1gGlvhujTL06Ud
KjbO3kGASXvkiPtPuVt7dlynHsNmZrN8lZk6ZUFqKwjT3t0mQgyHNbRTGNE465E/H7AORxd6trwI
GURmUyvzEhJazRaq4EiXHpbTQEGWLLwtkfFKjjBj/Ad/DcX92C9d5Rbs1lDhOH8qI36Pkk5PKjWs
1KGCXGTaEJ1u38Ev4609JLN75wL1a1LjdcPBrlIbgPIn7kNFrXyQPEPinsyvMdroLzS4A1rZrkZi
U9LrsAI45Kn60cfd9oiviJvKBqInNveoaIcgZXSqR6z2YG5W+8RvkV9FvEMjl5svOFRMboimjJ0a
8xYbgfK0Q8xt6OK0ggMEiC/Z7oaYyEsjU7lCms1+1SlcxKwnCivsgjttEfta0ZPjiWU6n1vDq41u
z9hksB2zdOo+kqDDeqwFsmzR9u10L5Wbn/w+wWhegwuFyDVBdnK2voUz5xIsaFKQWLyyKFT38BH4
mSJR1RTwmcweuA1y9YqTC91GZBETB5oysVjLtbDujsR+LcpQOTMUA+7QcxtyJCgsDeFeW2qTxx4w
5h3YOXFbOFDrvWjanwDm2jJY5F3UeCsiQUhUSq9pcriFLYaq1JUBibzKdeNTgoVyMNLadwa9+YTt
R7gZdE0fsKalhhDpcqQklwrT6g2vyGa48aN9hNKF8TplvwI6e+WErTN7EVBkGeEVxhjYaHwJogYE
VBdg2RmbxvRlxkfjyY8n2yLjqkVYYLuJbZGOTORZ1ym9CmWg+/p2quvCdogijQ12cvRKjIicppjs
V9krbHG6ybfIm/mIy9UElTPB2rodR2jz3rGI7bMJ+wUjEzd7OmfdK6xW+9DGo3hq0tU+0oX2P9d+
bY7O89ylb8lSreNES7gZQEYGFyfeCbJdYoDWevTxjy0cqsVLpx02miXg8h6721KNbSTYr+FH07aU
4abcRzRgFdYRNGRXJbctHViSOFUxgbpXbLctHvDX4SUDr8GWDwm6ExvI0pvyDPPb0iUoRI3smMYX
ktzBXZNHxDzrL+TG9QvScsEH4At67m5rRkZYCKD1BqweGdLlE8ttkfS8LScZ/9hTst1WlmB5y/gz
mem6HGe1wq2qb+tNslitH3+0pP/WAPj/2WgXUApU9r+e7P665PUvyZM//tTfgifYWQpYGYMb4ggh
9kXcvhjmb+sAEsxtGNlgRQRBjLVFfwme3LY3ETxRTGyY+LC+FETuf85tMRYVo+3HBn4UMQRX0n9n
bkOS5Z/Y31usBW0U2HQEGGj0z4MbthFMyxzNv+2G6aj0ANNlBUtVcNk6k90BtelhFXaAGeGtbyer
5nuMcvM+JBP2zo0zrQYHTZP7Rh+GAUs1fFtP37Rb0TwKxH57jZw9TRK1FzPt/aLDNrVdmnUjrOSp
/+Gg9yAjRhrP5BK3wqVdu+BnMiEht3baft1y/odkIzVCstRiUdS6hk1WhLELLth7RJ6bpWOv2EKD
uDDS9usBUFL0QbHrhPdCnYdW4i5zS5qdVdeQZ40gClY8cUQi1WDaF+UbiP5DvA4NSNUQuU5MAR+J
tCs2WW3ZGUtugguwlgvpsx4uDpAltBcNwNBoM80uRAQFcDLBbpFTOlC8JOiSfe6pm1souUamgSPW
entDQwrBvEOSM09GrJIrRIPXFARLcGnUkL63FGlsPHAOFDq12Q4LVteo0EJ2J3SK20dKvPYFFDEY
BjktWb55sM4VEi6lDPrgEaZmXwYd4GYkf6ZXiKZR4WdJ8AJXi/1m/0HemSzHjWxb9l/e3K8BDjia
wZsEog8GGewpTmCiKKLve/xVfUP9WC0wb90rKbOU9iZl9uzlQGmZkhiICMDdzz57rxNowXny4+k2
jUm+E7wgIZ+O8W1nNMHVhPJ8O3ddD3BA1umNRlf+3a5ra59oarwBGjveiNDMrwC1iE3Qw85hrasQ
bTNfBDfdWNrHjtyCZ9RU9nqUwJgdjGbYUQmM2Srg8LIfkMQxtYiw/BDt6OMkb6xk3/e2ddvZtXGn
/Kj/kslIWmsaXzbwQCdzaF9NWnEx7ImPAkUt6VcB/lqikJmWHTKRZiH3XWjNnrIwyDgk/q590Rcs
9lZ6yct0omjIZIaFxwmSFDeEEruql0+WKNqrIkQZL+wseVYCT7JeE6nuCqfbp6Nvnj7fOnVrxMcR
R8mqVYSVJ22IT3XWlJd8zGxW8bLZFyGtwiBNxNItpc1nmFReYvgqJkolzDvOIYotXDBu0lzJwgpv
kolqytDo7fg6LS09kOGG/khzHaVmtrPiQWyICMy5J0c1ngAzxnf0LujV4RhMN6QTh0e9l9lrXw1T
sNVnq/jiOrYfrVQ8enGvDJr90XMcN7e5k9tbtbiLASs4W73XYNT0hphwkOjpQoMs4/TDoNu3mfvG
2RGE4+hTfJJvplSN4zOVOLQKOpNLnD0czg0MHbnAdPwFq5NFCyIyLsi6xgMHEzOBT+h1TVzQC2y1
xpsWaI+f1PNHJ1KD9HzFay5sn9aaToLacVqoP5mK44sVJWBP6ZHk18OIAkRrbVpb/mzuWinW5Hnj
u6yp3ftMj++GNAVkRSbvkZ1ew+yrOigTzcIpGqmuvytS0uFyXosRlswaToc7GHfQRvFlVFlYHR27
cI+BHyhkpNoYdpF0/GcrCajcmqKu1lSXybhY4hDx7fGohHs0SyO4yIa0CKf2QpwHvIyYAiA3VyhR
WyvCuDx1aYdFrRnCB5JuFhfWkiCtWJCwOaRptm2acjpaul98q5px+jKEmPa60LIWuFYHFdjssfCs
LMxAL46KQ3BNEZfYotgG3lhE1ddu8EW1BOebehWF7WIaNORmcjLd04S8xDZU0Aaa1grDero26/Yl
gyXxEkF0WVPKx+eqlOJJOLG5ynxrxEGVY3tQYZm+T2O8QX2BEBxbaX0wg2GTMlrVGvV502Sp4x+p
5kt/gzUSjsdoBXsqGxghfoF6s4sysl6roRqdcz1Neeg1sjUXXFukrabQbK/1plw4EJHqlaeVyjkE
I6QHDLHDNjIEdjtahd90N11EDbegvUy8+xw4RXoHHY2wcZFP42saYTjhMK6TSUAd2mlZRVGRR/51
FwzpGvhriZUZph8OsRJbZmVvAzYm2l2T340Xp04LMtc0lrOGXwJAo9u4gb+J61fTr+TUyo1PleUN
M4wFGyvyXdAP5pXMcFmZbncRksJEl3GF4zqV4rmpycezSdOulQyzdozbaqnoJl+31gPPHfdg6r+6
fZLfpd1IGyM3AWNLMoKQ92ZOZg5MaRNdrfPt4dTMEAdU31dnPUiOHbCOd7QJ99JVJrFAcGrc5FOG
b8DpzXTnu4bCJJMn+lNlOtNt5oY1ELOoF4dokh0nRcvc+ngttryvwFkFXUCiojGq6YBVBnmKtDV7
ZFnzAdrNa5AqvgSMj3eJyJtLV7P5roKBfI7TL5TZyGSDjWMf592Qx8dCAD1D30zuQjcPDzlfytHR
8rfGLGgFZlOypj6heWKyRW8dSYGQ9pHg1k5Gj/FDtO7S2vBsX7brTunRrcIGecoNSnHhlx7Q7OjQ
9TpuunC8csms7gYgHydEhiUvZGOPEsG0SvXsCswR4LXUemYs9/tcFbVX+EOzRl52bkN/acNlmFOc
wDjqZm9DZxl80HRTuXdCuqVRMMUPRhLPGwMn5BHzbn1IHWyraY0KlPnSeichBA2BPejDFWP31oDL
qFe6r30kxuyFhhivdBurmTnMNniiJNrElJO7SfenW1EAjNbgi3uhBfW8qaylIY/HjC6wzx5ZqHO4
CM9ZL4aFctkd+z5urgQ6UrBgdyo6Qoo4XYLh88rqhHVFm5dKtwirt0KQ2wcOYbM8tNxoLSYppefG
SrX5yexgnnA7lcdAS+x1uVB+rCA2yOZo0AuW40tSQaescrrr/EcVttN1KUtj36PhUMnAyTnJLm6O
9RBopy51aJIWBtRb7Iy3sAZAa+jmt8gPqptMLx08vYrwQpsDaA+CYfR828puW9Gv/My/9FbnX4qm
a9dVJKbrJquNA28YaC/dtzU88fAoJnc8+IEbQaAQ2VNhYQyauzQ4VgKJp6Z28UzdfWpqtk8xandA
GDQWqlwUl3QMWDwEa1urVQ3Lqdm/GL2t7ePa+taFkbX1HZgUfp5Y73KC8qT03sI9R8fWy/WiuRqj
sdtztMUU4VZvQQh/QiL7fCTpqPbDNAYbkr/FWSrbv54QFNdR506bWNcKmCAa5j1pzNzjZQdWRKKW
NILOXzAKNsi8NeZXJwZXRSewONG9FneCla327EyhL+S+wxbb27anNULzirYDK86ncJ3A5nmMfLWN
K+NoVwlRI9yhL34SytSTZVkd7S7b2YbAO6Cc+bvgy13rZs5qa1j6tK6DyRN9xN7NkUGmvekRuniO
0cCnvdX27gSVQWDriyKsKmYu86NlNsEeo4S7d/IMv0Hk0M/wrVeRRfo6welyrg3Y2i4S5Nc04IF0
RvgiQTqXGL16eRPOKj84UrXroRHWJmgEipfd3ZsWyhUN+SUFZNzpdtcdoxnZKcRov62FMM9JEy5e
0dB2NrY5V7UHS2VmcdRHHmhHx2XsFHwuSJUjmYsoO/mVA5ehG7Q9wxRqHqREFCe36PEM9mX+aodo
T1U6fejZiOI6YN+dlOW51bAhoZF5tkpSTiELPaSucUQnwWxdSzvFsKRyj8L+3S4c7UHCM9nkhsDD
K9v8GOpmBw8ta/KblPY3ty62sxreCKcKjJCloYHB9KMBaFGujMNouAjo0fCACAJGpEVpSXDpbbqe
s0KZjuwiDSfmYIHhjGNle2MTDTeouKPHqcDJV65u4QBsqcMeU0ObTOY0tM6pKHPtwvYT0KhqRcrp
IaoD0xugwNwbTWEvDmPMTnjMKOo+dDIX7dqsmIyxzauBYkTVNeGCkvTFtLZVH3rGHIvzKDDRj4Zx
yFp6DSiC4yHs9PIyDfc0kqN1rc2osCH+kCBt4y/gEduNdMLxkS2y+grlBESXbNN1YY7MKgjKFEOf
FiUHo/OrM8xi60FhlSVLB0f0TGgsX3Hg9vc4h95VU7p4jKkwQj59evwcvG5bLBqnfmj9i5undniK
0XMeKlly/u+zniI1Ne3E2dZV+/BZ2ZUL9h8XUFTC1eoyYuaIIQP2uapyd2nWYBHqIPXW1J5zeE2e
/zsvCCo9MIup3kEd14+1a8e7JKkb/Lh5/SLt+gVMlXSYEZFVHBWn7NacVfjQaC6XL2eLVfL/r3ry
Ux/+vxEpm66xbS+DVP7fKsuvQ//+rbT86y//IbaY/6AnSgN6UVkklAsDreMPrQW8ooPMApSRExMm
/kUF+b+MD+0fiCimZdvInDBAzB+kFucfFrQMx+Y36by76r80Hkb/OWWNCIQCZBpMhgGYhX9O/dKx
tbtQGzAufsgp2QK4V2C/ohPLKDZagVUWeEmIolqAfSvat0CwzIQFLZSsjV8rW/ieM9TOWkNm9374
NP+il0yk6CcNaLkydxGZQJ04limVtSTvf0jWy7HQWohS8SqutPESWlO0c31yMnlQGXjSaEg6Oh0y
YeblNjFC8+DTY7ipk7qC/0BHWJocezlc5MeKkPKmxuwLQ7Evv3CuhfE1jc46nKpoN5XpV1ob2cZB
CIHns3SPZYukDh7hqZjizJvrDuUk4uNoSBLiFc8wDy3vG2T03edrjbp7XfuQfpM6/nCTdpurisuQ
dOSiqS8Jg5T0mKBkrLJJ17dBMT4Je3pCDblmt2iBNja4bFzc7cbEijOGxt5iNA+eUEJOvg0IjdXE
WBU2Zh1z7K67UluRz85Xczuck0hthy53PS6O0GkUf1U5ow7CgAvOU/UU5xzBNIPEXF4Qmh5HEmz4
Brc5ifPUJR3P3kUyQ2Q3BDDX2Jj9NXNpJCBBluBs7txDVvbdqq+Cj4m0NxH4jLkIXV2sLY13tLwJ
Cx2H7kwLpdwMegQ7TfPsOSW34V4CGges6P4WrbjY6H73mgcYirt6vjCfY6fC6Qb82a0fDGTHCsJe
2ONv6XYNJCHthzKZMPnaIJA5+Lu72p3e56GeGKCgXmbDpXju5OC1pCj8nvb1WCVPnBEfcrc/Myhm
28uivGKsgL8K/Z7Ao+oBgtgkWaRLe2Lmq5cF/VmSnon/igyRemPAl4bLajGw1gtfgnKudjsyiqMk
tdVKz3SHE02mbMPD3nidYJiPbvs3wdI9a0eUAdsFyLdYzbLhRWDCXNWBrFcdIgRjYeI324ZomTb6
nlkq2Aej0ljpbvwBm5KfTQQbEzcFVRtwh3eSmTaaSV62NuOvoUoYekS6sKFhgeQXvoBj3hv60v3V
+VIbneE3MR7nC10vrPGEMSYdBrooKG4+E4nVwNEI5NwHfZ4PTXBfofHzf4QzHUFe1vgeHYhw1niq
ShOZAI8dVnhtw81v71prftVSozmFopi3sUveNHLHJejqRPUVp8vw2qiK6DFNkn4bNY16pvKrrjSr
Kk+l7D5k1rg0TvwrDYADAdxMmeNbFabp0++Xjp/F438uHIv7SDqGwzL6C7JCN4ZajwYWDgIXH1ok
ds7MuTeyxSXL6ts4rG/iJtxNNQTX37+wviAp/m1/sVG+6UcqjkE6/gLMTb8spjoJSXq9zbsRN3ck
AQ5Mbrku5madZ9SxZRPtDFwrQ6Rdepnvk0biZHY4MDX4P1eGyN5+fzk/o0n+fDWLO+qHBdSkRdoC
xHmXiXpp8+wWkyMNR1gMHV7v37/Ur7vI5xu3FjeXtIHnSqxnP74UsSRsO2X1nifya8PAKy9J62ij
+WRNfv9CPzu6/nhPli0VzQesaKb2C0HJB43Xgkh812NSwNLJ4KCGksEBxkNiIy8Xc0J3av4bGMlf
fZA/vuiCL/7hg0wpOmp62u/M/+IJ7skixc61M9jvYCCuf//+INj8+R4ydIe9z1S6tnyiP79YEWoN
DbHmnQJvWhNNuZ7m+ZsjrGuBKeEkq/wGyRsTVIFpxBp3jm5/sAoALHeO5mSAK0f1T+VNm+irNJL7
UVVHZIR7ThnrqsxZpcH6veoD/ulk7s+QA+jKtvm0y6Q8zlF8V7l2tP/cIiHV0u7vMcAl1nzV0kze
mNa0rjqLGVGksDkxT68wKt5i4rVUbEa2cvuJJE6AgRW956MYiRB/9pEplgdeHvnRaLLvWTlcs7LN
sEmyzehbkCZgMvV5dZ/hAF6lvUNTVyR3QyYML8/kG4H7DyY3gIWvsIdPKR7pOaJ3W0VvQE4eOSmc
Ki1G5KFHtAYl3a5ni0lkYUjVI5QmNxWt83UZMvKsMNxy26XNrim7+7iABWKh3wxWvcXCmBIN9MVG
n0wIDnp8nmv9NR0qbcOWMmyrcjRQo6phPZuOTaOjKOlSI0FBwrj0s/7yuQiLZXUnO8um0FIi531n
rfWyoMGvzdQSrfGMJZ+sEbTDNbPDbBo9RMwQWWdcFRw9fC0b1mFHqx/zZb+J+vwO+r5cgSp2vNyi
60Bg6Tlx6wcy6/EauQF9YT4pbDzgdVnes4lMDVLKvCq0+SWJ1pUGnCVwbui5H7iapf8QPfcOjqQ5
Z4aC3WQ3oevsAiLpvFoASJFxAZShzTLAC19cuE0UXt6ljO7EhZtta2X1ZRD29eDCBwmIj0nmBs5O
sZsicdFTDjZD/pFP3cFP1N60tKuJ/EtXp18D2T9H0GSCXgWrmqRr003fnIqfoobnsXBADOvpcfR9
nJeFWLZLPhu3d99Ubn0F5OLx5q5bYcxsZ83OceYdM6O2fW9eD+l0J+PpVHWkp80sf87q7wZBH2PK
TmNeXQWKDyQezWbrI1KvuqlIobhUdwkgzhXIl2hXmG29oardQAM5jCOWP3C8W79nIEcgnXmPMQ0h
rdbvRNi/1k3+UBOvMKDgKlVsWa3GVeonsJ/jU6nsSzham9bOHwySRyb++xXDCTm0gLvQZUnnxT9L
SXyp0K0DMNiXSSUfWR7KVc3oh0h7a/2GaBKwNQaceKrTHmgSbmun+pY07k1pINqRFNRWPsObMMqI
ez/sHuyJ+RsLakJvOTUyRkDtCxMuVx4bkyfFOP9RHVK0/TW2/RMA+Mt252hoNxp8QhBRvw4DiNI8
iTqVvPeRkxzAA/cglhxq1KWpyL97fzsa433dqke46W/YeCJSjKmxJiFUbhU57ZPm9yUjagIAbBHg
S9fpPhgY+Fak81MKpeZr24YQiTEm4ME14zXKLfJC0+/aUXj6ZN+2RAdIuqZne1gQCo0K4X/0D43F
ubQ3iGAjD9vyuYC1cqNDQN9POX9ulM20BnyUr5zMbj0yXk+VPj7kYj51LVV7nEnOS/4QXYky5u9U
ap+bTMyDFXgOS/E9BqhZxRQGZsWjFpCqXZXIm6u5J3cU9MF1MGl7R+97kobEZ4zK4yBwUGGxT5fT
bKI2WCAJJfYoueXwPbUUCbqLxQg81mRrVXNc9wdxDnqY1yZ4QC0KKSrMazcXT6lKL3HI0lHNN+3Y
jJfMSb/29jLf/V/F7F+UX3/e8kydIe4UpxykHFNbNvwftryQA2RqxPH3SZIwDAgTLjj8M+3LikLQ
df5mg/3z8YECz9Ep9ZZJxsAZf361pNLtmcjCO77F+7IZwPAW8cvszpffv6m/OJ+ZkrOZs1S9LDvy
l43cj4N6wDD37pfWzghIvsDxgAwTpbQapnstK+8dTby7fX1Ayn6wgvEhRYzV5+KVtLf+N0eZX4+p
DCHhYnjLgAqpvz/N6z98xFkaF7VS/XveVTipZvNb4Sew1rNH50Iac1ilQ1DTAZ7Ov/8Q/vxZO9IC
j469A0sIm8bPn7VirgLAqY7hibCcVkKTIBEZdOoNDhmY378UOgI/7OcVAqcthQZmL8dZQG4/v1g/
yVnEJg1ZJLXUg/AJnkuPS48+sbnrA2TxkKbLVdNa3+GhVavZThhGQwnmsXAxI5VpQ0yvSqcNntmP
zra/MMpSULuzMXJI9CloQWOPaVis2a/8J73uhzPAhhucywmpN5xMgVWcZ1lEO32pVBoshtcEUtQ+
leRrTWn0VyPI/g0u57VT8aQmqTQPhOFeMcf4NBI4FzBMYWWHA49yG4uDcscG4XeIdhz1yxsoKaRF
B2kg1xFrQ17P5gNtRGuX+8y20ZAaArJonjQJ0RWmn8GjZJgSJZN5QAwqb/KM+o9Ertr7BV+4UwVr
Zl+MtwgZASK3uqL1r3+KFFWFFZPXw5hl6Y+Y3/vz57KjayxnqitzaB/5NsNHuC5U3tDaFsGmc+2z
y3QaumO12htZhZIxd1/r2s83Y+CfGaBkecwiszdRBDKxiTGzQ/yzur3T0HomfWRe8NJnt45P+d3j
B6D+r7XjNEL3zEr87zEoRlLu+FTaDrk9RHpwe5JEhYvwIWq+IN9aMuIuPmvmW6xqQiN7TiruVVej
aeQssR7eD3ArrkVuOESnsF0/3hitY27HYoHnxKzSfpFMa1cVdODNhtAieIAr2yjLG4sulKcxGJRN
myvpW+ZtlQxpYjZGWcLOATszcJnRAtnJmcHk2TFjD7OprW9Tq953PdPKWqgAuh0zZmvwt1FE/77P
0ZsykG2rsErvxibm6Ch6F/9xDlhL6+4afhbW1MBYOyORhtCAEteD8w7CWnpCJl/7HjQHOTv4RzrX
/6n+hHNKBc/YqB2Uv8wLB6c7x436jjbQwXZr0lVtOKCF/AJNK0XE+ryW2fSTJxrD2UeMJ3o3o7of
NWWNm8mFIoP0Y/zxEqbBlmjZvOseQMnad6Nxa7bud2B1X01IaLs8b7aJlbaPWPFglzD6GNr/+wg9
AHwlis/ntec2KkhnoLTR8sWEHX6YquFzdWs6zAM+4M+vAwQxOcg4UMuYZdwMOoG6oBjehrq2vZh8
mhcuEl3Xd2uaO8XJTPhYHF/utUDN3qAYaFdWLk930N4qlgnSyxkSUcXLhjVn6rnAx1gyeQTLaOBZ
TqE8POZXpimngxK6sQkN7TADK1iZhqjuMgWXTS98gjTShhYQrbF40owPwpNjJphtGbWa9iGhXdwR
MaDSvp3JCloM452Ya6lPIUgexdfUsRZu3PGmn2Ycvmrwmpq/ak84znCSFAe34V4yfDvbSA7pHk50
uE6LsDcXi3hE0/GUqwWDA3od/wUuhIpPwEJ3Y7Azt9VyU+hxUS38AF4SfhvHDXXXO8UHM2m+DQO4
H/LuCHI1Y4OB/PFDmURxKG2y/FHpfsOCqzPcmP4qM1Q8Ie7sxjqkOWbdKMYlH6U8P/XEFxYRXw9U
CuBskFd+mZ+zaroeEvQGIIzcmQiT0FCqFzuHMg48AmUw5grB3bAgN6cRtyYOYUAQWJYYb62mOwxN
86rX451T9nKPmabeOYa/N0ci8SngmoUR6m7mOP6ISXYcQ0j1+3rEDMxzfl+KcJtNI3H1+Llq068N
Ha21ZtC2FWX+PXG0j6wOL1NZ3dA2u00bwAdiwSVkI8SumeKmG2hOlTnLtg5GgOEw6Lmf/2kamKZF
BnlDMfetBssvmkSujFmtGY2xLkQOUEYwabzOMq+lc4k5GSBW7Bs22MP+DpATSd5cUjXhvl0FPkFX
kjbsWfWLkIyV83tjA4rhwmQezDjTKODjuHIdR6Rk3HKCzu8u50i/47AdF8zv1kOdkc92Vm5bkwXX
1fAVDFhgdiaOgE3J9I+HgLuaCW5ik4HX2RAS2cqepbIr++KQYDFH/0tuc8O90/ysvBlcHtEkh38T
wqyvB6YHO23z6oKl2cT5lHmVye0KR+V67qM3vxmHTdgOTBtiQOAhDbUnJ0ZXFLiYNsKgjkxh527r
1PaZHguSy9DYZ6lSHCpVzr8EZQinD+D57HfmLSdnxzbVvmUk+g7DF3JAz2eo0mCDfx9BIeLUi3ug
ptpAWP1c8UJ8S7vebKwbjUPIvrNY9n5/tvhT4wJftsGMNMuEGc7B8deoWRaCRO3nkjRbkl98ZV0z
etCDhPrInJmjpexjwwzOeDH7MTTl3NnmbkbvqJx2rTliXDkiv//9Ff35yLxcEDhgbVEegTj8fNaR
5qAFkckFldK4sbLsyIjh63kymEpY/o1KtLSifj1XIeu6xColgTvzc4jVD2fHyJqaxHUJoDcYS33h
voBtfIksa2cnDPkAODFo2Eb95LbXtcfMsbaDhKtDKIj2LzyT/sz5ALAIgJuh89zUvTbkG1MQnkbL
x3DVPVaBpBGfjd/crvxCIAuzvY1bw9kHqDaaUy7F64r9ak+C5RaUNOSu9KZILpo/IstoNa4K97HB
B8RTa9xpTctxrVwnjFInkw+QIBqxQc5jIeF79BuQWqTq2tQrIPZS8xvYKKZlPSeeFmQ1xgA32Y56
t7NVAUYiwJUQuEedZa2M+j+Ox/+TDeMcL2xuoH+Vf3+eJsdQ4rT73/+LGvHfbcx//q0/mpgGTUxJ
feZojB7QqfT/ZRjXmBEnKRX5R0nb5a7kjM/BtQ3/8z9M+Q+HYQnAqv/ZqeS3/mkYN5fsMIOAqTCp
L7mH/0tBX/1X0VSz+BGsQsgsxPQdY3k2f3gewkGfJpPJr2BtyQG1MiZoThbpgCeXMSNRrWAcJD1G
7d7t962Jp24SzPf5mzXJsX8trjRbd8hyOja/RdHzq3hrabVNsnL+Xsehfg8ZH3uapgNYsBBI8XKS
b5lr87kr0K2HFt2tLdNuXQL8OeGi3NaGOFjWmAL0CG/iVv/iSzQ1u63pko11f+W3M5qPKgBO5x0z
nbAjPyUV5Jk6KZdVvI/Du2Ac7WvHSFsECJLPwnHbDTmT8ozZBztObdVvVmpXt0WSVNd2UfbfG7+Z
tyAOx48UidnLzTBMIanCD8lCWdkbkxLuCzr2ITNlep0wUG4fhT0bkN1ghm3d1dDP6go/cViCXS7Q
6Ijrre26zL9ZWqa20TJRHPNP/zCg3nmiq/1vqsuKDTbpYd07lQLsmpI0scZizTw7uG4xox/ygF9c
LTfO5KZzEIpQQRGru6MVFinT5FLtmYQzwLM5rC/RZLrXDJ3XNo3PbHl4prT+Zj2m52igFMnS+qIs
DKkVw1o2Rsa8Hq0V5pE+2iBWArlp2+f5vE2J5eQEem3rqqr9dO3WBrNXVC83ZafztYyQObE8wpyI
cYmNZVWwRwYhY2KL6Zs1LFi93G6vkxEr7BBIckMxYkZHUNGLiu6hGbWv7Fr+nQ6U19My855pZa+D
iu7DUT1VpH+1nmwR6iUsPH/4NpZQc7qye4iKQD34PXypPgvvgTorzwBpfUxEqm5wkdOELSyxrYOR
EXqwJIE3Ya2j41Tg+eytq3wZFdhkunkgWUcfiOJwmMH/xK7e7gE9qVuELDh0WpxtDGUl23mEXmP7
GQBvl56vp9XyCW5fuHbzxjwEKVc5adZ4i9KyZjiIYKZe3t9TWnBsjM8CgzCzqSPmQ3VeN8ffMco+
jWbpbkxl7YGPIedZxJKg2FxlAS14PYH+x6SAm4hA9a6CdIbjKP6Stb57JhqJvSynKRuX1PO2Ts5b
b+I7/NJLutQ6C9lQf3RQPRppHZBUsldNKxbP+CBpWDjNO5S7LFzDul6GE5L+3wYzB3jwJHZ60uPk
Tgj6H0XdLLgpwxF7UdhvqrWjbU8gH+KrTSoy1vy9mPKT0Rnf0wy/DRkVaHl22R7cqv2Qfq59hJr6
EoeWvEn9zuQAx6BCwAk8TRWwvaNZOf527o2TGOyxX8zoNXTn2j0jMnb3fQiYsJPiONrjukqwLzPK
Cjt7RiZ0iOhtWEbdL50awlRZhHJa20/OCMEFfkzKIMMCVGXkFo8kENSNTBYu2Owqr5S0rHy30onK
dNm0m4iBDk6Y3DmB3q070XzBCRh6PSEW32DftRrqE6mlH51Zjwe9sY+C/OBV0SEh2xPuD3+ZddDG
3FiNNUNlwRymMi2+4+Hddabrokvzv+LaoBwco/seRBmm7Ljaxx0oy0xN4Zquv7H+vERjQsgeYeWt
ynqK14Mx3Lp6QaUd5dtegDfqsobiy8oAIUty4L5Pt8cEDrd3BIjqIofcNJGkx3VAShmH8SF2+RJT
WuRFOx3Ljol5rUY5zj1HcZtpKLYUHFT1N3ZTvlpxUuItiN+jrFhuVGeE6QQfzeyKcR0n2j5LjCt4
1zazP45VVh1dp+TzDt8cKz20WXATONnRjkrwiCA+fVPbzQmLD+7tlW73D0BQSX2wtFavFaZrSrP2
+5wwpStvtOhbPdsOEZaq2RuDha/XbVrS5NbLXOaRBzX3oZzV9UzRxzquHyj6GEFCm4I7TcuJbxYf
LoNdgNBoar1YSdxAQsJvGvjhlV5uwsrZWDMubhs2HkWK0W0A9l5zbGNBN9GpklpMJznNTKUX0FoY
/6Vfsnym1T/qwcZSaboRYEi9WERPuq0kHvuMq5ydS57DVxuD4Sny/ZeoHWmtM6FhTfw1paulP4WZ
4PynMhdOZv2EfST14lbNOFnFqSGNvFAG/eV5bgsnXlsVDS1F08KEfk9zkgD6EnCkZ7HN0SfDkMqv
nlvWU93c05l6bG1kkVCqRztKD0PQHNJ4YmB8VTBy3KUvqB9Urj0avk+3Ct1OM+/ogt8jmTGKLb5g
xF4ZSXFdzkzg1oJN7g7P3YyKIBR+DSdknjTICdEe6JNf9bMFCps0uJmcLRz+not3GjVjmzNcINe6
fQYbn/zYs3IYJG0q4c19vW2zjFEDxRXAiQ3OHSBxclyR0VjjOH2FpXTRu44nmYMzGLdy007zCqP0
SY4cnRMCuMfWJYFe+8VBT+WjGIsz9ioSWj3tQ9hjKetg/9ovGMeKQ3c6hqbnRB0zy3RylBGUB6aw
SssLlX2rL8mQ+hVs13qoqrPru4XnjKAokhIHin2WDKTxJhF+izjje37GMjOqia+RhwNkPM7lDJVP
I61GlGuj4oxHs2LepamBASCHZK5qOQebNuvCrZGTXhBCAxAeiOBs1UP31ul+89TCqzz4M3Rnp6RK
3ywj2va0+rRjxB+6D82ieu/SIbqtTGB9rBp5uplSE+Isg9avVGq3N5Y+kMGAwGa+lXKon4oYtzM5
nm+aZoq9NNhpAeTVm76R6gBcq/GsvMT8qcyi2Os6OeG2++rmxfzNTZL2nQY6Vh0CJCd9Fv5VNQ9M
1C1ZUVdhp+wv+JxBmPsTy2Ge83NWIfIsXTRfex57FlKVJnITz/H0ZSwdDFy2lj+6vZMwkWVw5ZUc
MNczZLw9hb1OPCIPy/JuEoguMJyRjHDAYMjmh2x5wLqt5pfuodR1/GFhMu9rC6RVTVjjCgPtgPSq
ata42DH2ARWxvQJIUqz00cnQhdW9sIF+hkbyXcbafO+CgMbgX4sLU1G7Z4PlDYfYrBOtsuxk/3/I
O5Pk2JEsy24lFpBwQatQDJPWG419+zmBsEXfNwpgW7WE2lgdNS+P8HDJTJGYpEhKTmLwPZyfTsKg
T++799xJmVKCAU4a0FwVEXKcvjYd7En8ODPA71B8SJPnQVvfp20X83gBml20EzwC5Lieid7cwXh0
toOx0FBCQm1tV3kQ0UQQ54cMv5cG7/c0VvIij/hU45yqCfqv8e9n24zvi3f/PHq3wiqqkyVr+Y5b
fHhkqdfAFe+8I4P62zSZV52RGzzsmV1vIoJT90CrcRnZlfdN7w/xzXLMbxb2Jic8YdmGxvOZS2z/
lPl9eo0k8WOmqn0hzTK9L5bd84FILeptWbF3d8qpu2JLeFlsk9hxj8PSRoe+GaD6zMR1WIsPvyay
CRfJmIQHToPx2CV9d6jC8jVD1mBZLNiAx8v80vYUJKH0lhtb4e8lyVqf0ikv9nncYcXNZfexpG7x
Db0dJmqWRBfNZNPj0fknk53IUzvTXzhFbEPRn0kNNCpNttYgzcMU+5CzHTEdQWkSYYqIuAweH/3e
DL6iqQL8mFAP2FY8/C4MmaVPp+dxztLXIKd8goQa14SF8FNLEeVtms+7KQOVazfUTI9J9FT2CmPE
kph7YrPTpd8xBZOpz196ayK/5WBHimaKVnlTrayO4t8qsLpj14f1MfPTe0NXFtZdab5YvR+e0g6R
BfgoccAu6OaLspDhqcT7sVdpGnw2xMU3+CF1zpZcwVVTevgLDMiTV6EDz3jhizymC8Qie5Ak0vNh
5JPBU0WPLvNIIe7cKHzu25H+zjCg95rB76GD9CDpkbiolxKlE4u3VdiPNUsK3r3OuG6hVxo2NPOJ
w6rzZ/examGURlomhPHPoQV5IX3GfJnesYf/CCUWbnJ6y2XGMvQh8+r+IR1UyT0mk6/F5MMoxEqq
t068C7ljhr7l/OKaxexB5L7mNzOLUxtTpDNI5znINbuk97I3WmvcgzXMPv4BfoMr5p70IyhK5FFv
kRdEtr4lIIPVOPb954LO+eOR2tiSJOPVETZTcAtwHU0c69/W6KlHSIbOeMeHem/MdA2PYgppeIMe
5Fd0ocT+LD78JcA1UaqZ6+fgd9527BX0G24Um0TQjmYE/JGE4YNmvfCRtAbesLU3b5vY+mU1AuoI
mdB7rIxUYIh29C7G0HloyAd9jnOUb9uA+SGxbejj/FhIRJW7qFQkuFpxp2at0fLk4cDtD5j0gfYm
CwOtag7zTBFF5w7PVNW428JcOh0+bHeqRSaH4vVWM02vPD8P1gWyzyGhuO67HWwWf+w6fN6wHF7W
O8uciH4kdRnTtovJBRfgOiMd8ZEUwQhDwI02yg9/XFJMEFpCcYca/Ogk9rx33Ow6lILXcwrhqetU
d5hDp9sBw1C/uLjTjYMxD1+s020d4V3SeWF82DbPf0R+Alg0Mycls/wi4v6ZvWa+czQFR2keTuBi
NiByPWyRsVuadLgB5JqiU2qeTlov+S4bYOw4mrZjNpXapprA0xXdt6uZPMOZznMG9SRnaI/pwO9h
fHEfjQqmD62kjExeTZoJvQ5l28jVfas5QDRBgwSSmg70JxHoP/AA/NVrx5Lck5RMOgFhfOrGtNvx
T6LK0i6TF7ia+28Hj05Jq0Mhj8VrTKZl8Z3roVp+nf/C/83aG3IQotd/Lr39e/se/d//U/5ZePv9
X/lddzN/Q7rD5WiaCGlYHpG5/kgPGPZvzN0AFyREBrpCSSz8WXij35KwgekhcFhC793/IDUEEPZ8
rdZh1UShMsW/QmqQf5HhPcGy1ocKYfKlPEurg//8kGTz4o1FlX/PQpEB4HS2vxGBnzJNzyE7TmkB
QB2X5ee+LlsPIGefPtQF7dTEkq5raEereBSISaYLoidTS7jm8GuuJjduViYEpg92XmJVa7xP5sXp
NV5o6yYuF3EwLZAG60H03HI1HAh1puWLyX2ZMCwCc3Hvo8T7lryzVmROSX4rOcJx9bzL2XNtXDUg
iEKzjlaKopVNKUR/50unODYxn7yoq0pK7jTPKNBko45X1abTtCPYgO4+G9OdUUNCMvwJgo9PkgCo
XJLS/WCY1ctsjvl9rHO3sNjJTmi6UjGGM0mJlK0e6CWwT+/jEnO1NJNfHdiaVJQH2qahxjup/cmJ
f2l0kJyihFoe0E5QdyRVRdCeCrBPfa/uMzBQEnjGtgz65SrrvXLNe5UUvDHuYFK3B6EpUkLzpPJU
0foTUeWezVOzHzpIF2HpdNeAm4o1CkW8ysNgvoioVKaOHn2xKf0X6Q8UVzDHr4kec6UNs11Zz3Cu
bI28Ghaascnm5ndmUSzrFDmtXwZxTRIxPNYamzVz+YV00W9dU++dlr5fixarKhHoD8HFzTYA2vC7
SveZR5TBKtkqRdkVLyOsqgPHTuG22dukKV6p5nnV8MZPrCefB8elHz1yTJQaeTXPdnpVpSaF0JoN
FlPoDcDMKJBd89j7anyG4KYK4ndPk8X6sN+x20ee0dQxzMMAyHAZqm+SAsixM8DVJMSpoWFlqcaW
idoHb61RZhXBuGozo+0ec406G5zCfitxzG8pC11FlJDv+LeeNTsIDwFnRUS/LuIj58eQTZwkHClk
r7utDPGCjFXEUYwEcZqLZWHEJ9WH+7A7EI4nDa9PKUqQruEpzjC9ssdwqX0YPxxqwBnYeqmQi2mQ
qyMJMeuD7j0azenX/nAM2q5ZVNGboQ/KgBOTXGrO4pNDdKy8n1Qfq3iSmoPQR60FvWol6vnNFYhO
vT6Qh0JgcTF7d9tzWi/62J5rtzlQlgrlHOpd5Lr9AaQaoykkg1wf/K41HVqnK3elsAB7+e2K/pIJ
3ghp9KYxw0+0ynLtcnwayBQQftFXk3tTTxtCOb8EsKPt0Hv9TTMZ0dqBC894kvlbgeviotezC9ch
CHGV4W7RAfmn8jzmJHriGVMVvKrAm25S26ZTyIVRaMKYTPWsZPgoa3HFyEG9N4EWUwa3tvIYr6zC
CreETJofpacv6hoSIGfNp9MnoOBVUh0GbjMf2e+Dm57hZF5ywWSswx3HgDeX2XVATGdMhuSA/6mB
I82PmgBq9hCk4VOZtwKiMu+uJs5AoZj5pm0LizzAjD8ytBtC/mPxgEtBPIQQQB9kFt+GdvrhEiy8
Q45Pn2tfMqwa4XluVcOu1bOsPbCIdszm2WtcWi+Zd/0qpyYnsm5SPQvjpqXenotYRwC80PMy5bzx
dtAzNDHMF9DU9l01N2i8bUztfETpUjF0yM8N71pZCvoZBA95P3w16YT6XgJjuyK8QHuWEH5Pxz2D
fdpF9r7lqnZymF6QfNtOkBanItcr+MMALusLTWR8F0F+b8a8c8AKdEdbXyg6fbVgrr9W1fwxNZZ1
YdlD/iL1TYSWU0rMTW4nlb6nxNkYPTkWBIXE5hacKf9e6LtNEnKzU912pMZnpfTlx9TXINr6CvL2
XX1tWqPa2l3/YeWwEkZ9iYr1dQow3nzs61QduHCYh0TWyba2m/o2sKCIsuDXtfK9EcH9pvNOX9kC
fXmDpRivTX2hK7jZFec7Xqave7SX1idHXwEjh8ugCAR4bhwa3DsnaVH3FjIaAnZbjgC8eexUW2BR
kjHaCAF0XtF1Ef1Ui98+RLOHMS+JxgnZwGl1JZ1a+ovaL+Kbyih4BqoRagZaTrv1oq7AK++KpSHl
TrhvNcTztTV5+R76ehTzF3TDp4zzBDY4Cu0r3ZjcUzjMwvdqCZy9VZT221C0oC5dw28+nDAfHkMj
FD8O4COOx9T8RRO3xaUpcbk44nnI1ir3vIfZHaJdrUpjH8DG21QRrc9LnmeHvuVK41foXfhYw321
IGkVKvMhELrR0V3cdJ962LDs3vfvAmiIlO8o+G8BSZ137lftFsGz/K6wTtwkoxc+gyNApVKQgVLh
Ojc2N7034s7DNgu1tNWXQEbnOdlOHsG9dArxM7F8z2mlvO47ZZ6QzwVrs9FczyAytrMYxqOXdnST
RTrO7fUB12ynXfsL1E5lJnJLwD3+HLBhbil7gGsnoZcYcqouJWfvZsS5vBnyHADC3BXhRnlNChkt
rACldG1cHao2KA8CLuzK5Jm5ThCY4Y9Yv2RYihtl5x0MDanuBz/J5GqMteLMM1jyiRk88E3Qw6Fr
dk9m1ENBLFrrNVEFz3rD650KZtzduPfoamIdFuiLCrrKaGsW6Cj6FyqzaHQt6efYzglvOrtpBHnj
9A1u/nddRv1HBbx8n3tdujdKo0T6bprrOIXIi/m2uFyM8WQGRX5vuT27UY7B6Gg6CgBgZ/iaiGIe
aqlw/2CxI3AmaDEaE45LgHltYqxaI5DLClwn8MdOKfdJ6PkBMy2/moGNW2111Y/jJDmNEewHNpE/
WDDsPGAILdT9KmtyQm1pvBzdMRI8nqPzi4RD+jooi73SmB59XtjHoQesyK/gIRLDqeOZXSWomKB1
8qpvVx4AmLucs3g9xhQa8uHNN/FA8WHZkjJorVLczjGMsJZ6NzxyLn9NEvxkqYSfh8f3cwAlA8vJ
NKcTKm1/kxRNOl7wVduTO2bVzkxb74Cy5e0GSISPmcXndSlcyvw4yi9YJEUri9YPBJN+vo/MJXov
JjdcRyLN1wIrGWTVkOYHNTTNc6uWzWTmHi9nzECu2WeXeU+tGeWWJWKs8j+rVE4PVCJ41+GSQS2O
F2hMkV/INzNKr7AyO4Rqem+bo/BelAzBl9CTGmp0YvrQija4sMfRPiG83WHu9J6EgcJFqWO3qy1f
PikVVBs2kbcdHNbNjCi3T1zP4SccXAn4y0B3o4lmkMm5SUAWPCUEX6+rmtAdvK/Q32fJuDzAC87e
yNhQMCi91oJ6FcV8/AvjxPRhuOtMindj9Ipv2FrTI40r+Ul1NoRE1gjFzhx+8jHkX2aDb+GhG43g
vQ1YS6ywKpbHGY4udcJKbB2fH6plFBA6AP7keKo6C1M6a/HwgS6h8jgQJ4DRgrNvTtPohnmtOqUg
C8ne0oezZsE1/BprIQ8LLiWWHIqHAXg3v8rkFLXS3JXm4l6mueezeTaMt6zPmhugGsVDM2t9hN/s
hqNYfRdNx8wj474+JVXPJ0ECgfiAvpwc8kZVa7PmlAYZNIDfiKl5aK2mu3Ur4aygaP34Y6FAbiXh
JspajKdRYW6ctPExDs9Yx4ARSaqBY7p87bSbt1ibl5rSIgFsp5YS5lcZFdmPQffWakS5JSVTwSwR
SX8ASNnsiAy8lr0I2HMiPl0QkGUWdnwuCcEE2ZTmQ7BFI+bLaN3bI2AIs47vfWn+6vHOHgJzJiE1
CL/67JwRhmc8sw5v/DTc+H1pXzkebCKz83bCj4YTPKsde9Y3Nc7xwdLMmJKD9mLMuvTGMpf5si6l
s0VX89dVH8XrUq9W+bwMT5SD3YJkE1c1lW6IRFolOmPSz8T0GnY6pFmuCJZxVZ+56qO/xN/WhKmh
19j1Cf66pQCx9xrJHp/p7DhHnQshC2CWJb1tHZjPR9+Om5c8GHeYKkG8O05z7EPhs8NInJPNivJU
F+9CQ1Od0HrwfWpfJw1UzU2z1fbBq7ylt6G2f6gdH5hJWYlx/CGi8TwsoHK4Q3BfGWfrFFcQcCtN
cPU1y3VWJmE0hnmO8cEkRDzRLiOXgUJdOLC4Iqyd6q1qRzC92fKad4+Uabpba65vpcMAaRslUVyN
ljV8GLMaNhun3r0bjN7q36IhMbRlhOhzU3MHYPV/MA2pNAku8YiTaeui39G8VOFeKKaYhiny7duq
A3v0b2FWh05OUwaKbRcHaxCzRrOyQqPa2xrpQihcPfmlNV32SZPvGhfO6X+vyvM/FSphmUT0XBuB
5D+Xg1bvXQ917d04vf/t6r38jN//SRn6+1f4XR0yzN80PkLLQwhAnqO9Vn+Xh7zfXDYOJpi9wDEp
W5B4lf7wZVmaSUEnAsEevIqm8yd5SP5GoZC2awlUIpdgyr8iDyEA/XMCxCM2y1fx0E1sTJokFv/i
iqx6LsjRbH2FQjr3jd5OJDmtoUg9ZMSwzBq8YRSXk52KnWpTNHgILkhwqNcMEOGlW0BgvihieqZX
dgIZZUUskQ/UKFiwGlwb3h3Ckc8cNcE24QgudrGjMZd5VIVHFDUiWM6CdTzOK1qL+wjAutmPIfQC
iN6Wg9CBswGwjZ+ZIGvVeFKOrC8Gm/HBWehA8+Mb/BgjrnI/ILspH4kyRFs7TLAHBLTUMMFRNhVD
DSrHIxU0QLuKOKKGkV0OJ8PMhWJHe054MxhRThVYWYUbkKaxno/no2e66Y89OMQ5XQchI8FjPMz9
cud79Xy39PGD9GZzS2ORL9bs0DhsIBR1uxGzxHshk77fwLyAndm4NVkNgXtmWfGGtWi3zItJ7wmT
1L80RRreYQYrdxX30dsmmjHBUgHGnp2VGhrMrPnCLta5Df3xy9Ws6cNCwSGOATXcwlNO7qIRSrHQ
vGK3Q8oONcNYjAzcUQ/3UGrC8ZCwmt9hXQF8XJ0hyHxzAJELv+zugHQ0O9Di2dG26C8wK/reV83I
DgT4AF1ylcyyy4aJEREdRDeyCVIRaHajC2BBQGcG/Cp39hnZLJxRXNEaBcg5tWA6d5ruHOeNboaX
XzjIID9rBnSoadCq1HyDdFQbJ2iOTlTcEe/0bjpp90dergMkq+KF5M6MRj/c9UWbbHk0MQm3WGJ8
l+IqkBO8ZT01XlK8i2/fJz5qNu28Y7wmci7Lhf0pTquDvov99HAJxIWNeL/Js6C7bLtmqPmv0ZBs
QR8En4WWNj1WOcdcI7VzDddm59nvAh9Nf+VwET/JJrNO0RI9WbXhr3R/YJPr4IiGdvfpiNPDOrO8
M431DmfVXlfmNBCXqpiJlkg51875dNPnHL3Z/oXQbScqhYxPN8RHQL3pge7P9jWpO+9K1dS+ludm
EEuXhLBHme9cXRwCQSQ44u7QuzldLJJF0QAg374f6RyJz+0jXYgDas4aWqinnp7IIpa3suD0oay+
+gzPEwUZmHCXxJwuFF6do6gzYp0eRcLzVOLqAQVwDrNK1Omf+FQxwbA9f630UNPF9HpBiop3KbZk
lk78D+0W2U9znojm83Q0nyelwZvnrcwYACw9SPk8xFxIk5D5CsL/JmKPF1+EkOk3Ug9isM9+XBC7
kDMY0mQzM68VenQzR2fYeRzRBJsY7Hw94sXnaS+bbXjYbY7nTOpxMLEgxSQNwpWNSPNgpmNzU50H
SD1KksB2L5WZWjtRmMmp0yOnY09oFjCylR5HlR5Mw6Cggu88rTJYUH9g99GNayOEaYfOKiKVehR6
1A3PU294noCB7zINu3owhnm1JX/CrEx9RHnszhO0qYfp5DxXIz0zY1nDz0Ih7S5KU+ZvWmPzU4fn
AiojCmdUZeE1udhm24500/a4P/Y2t7Ndl8NZiyPs2PyIQxLs+F/ZusEKv8moFH7iOpAcKkI06JWq
ohxtqPP2UmHU3bKaw0yiAhioRYnSIjFFHIaZJrcgFHgsWGr6RxUv8irDwI+Cill+zkVFZqZ1Xihc
5DrJlP882Hb56OLKwgknme1nw8XRsbhfHQwFQvR8gxBv8JaT3dtMU7w8W42Md1ZfogEtJNQKJTdJ
heYfGkm1i+Rsrh2Dagb4XC7evppwBZy9dO+2znI5LyFoGLEk8zaZBBTpXFofXUfOPkto0QY1E3zk
VKtHawNiyoG3iUtbuIx2mcNHlpc+U5+NJh1xSilqv1Cm1kYhcE/5WRTq5vnUek7jiEW0EJK28xLk
p78Q8gtVMWwt24/XRCndu2IKqlcZ+vXK78bg0uCWuE7qyLlYrOCrKKYjWYzmsjGS8gq2TSdYr5vm
DUW2nETDE2jt6UT4hpdoxk3Q6W3gPIMFobL0PpLQesnokNj2+eicUss5UN4RTSzYidmBBchCHHZ9
iXuOjDqZOG+nDMf48MA6r0LuLcRynJR1iLkc6sRGBub1u/aWZW0VjgWXNw8C6mL4D0GLPxoZihzC
1Hvt85xg8DE/WXHk+7Sux33e5faz5Vg49WLICqUXW4fOKi/rTPWbZrEPIynGZ/B49MbI2CFCFFMC
4vrNRWYOW3uiHNGefNpqY8G9XfYx5aQEejY+qfXttBDWs6CHEw13gqukcf2dCRVj1Y2G3LrD2N4b
IuZ+gHa085SbHQNVm3sf+CwxA2jI3sjLM52iJ4hrsH4obGlo4/TGx65CYA9Dvln44h3rKvVMrUVx
G+YyvoHI6K/HDM5w7ZnNTtC1QuW3r7AzczkgPcPbyC+ne6/pSFNQd9MsXvccNMN3KJEKs7qY75WH
44LSDjrm0nROr1vKRtZeUlYHJxPEWifqbkgl3vWZ3dxwvcxp8MuIUjW3KkyhQAIEXPtxND6VwISv
uzLsL+HhDZtpjLaN18iruIBJiiNFYv3w+6W7SNuiR5edBVApKufSAGhBPyXfY5wlh36mGw/i3MZw
+5vI9qY1TGtvw4Gb5TjBKdWgZMoryLSjtVmyug9sZCtKtoybMnJ1LsT9EhWbPBTONW14YqVYfz80
8VhiNp6aB1E0HlW2ZM9cBbeT1nvumhSNwhXKO+5gPp9jwiUPsrUZRAb/Ex/wHmOvC7CqZNeR5aUu
VsbRdKHMGgZwUWuMMJdZ+3J24CGowb1xM8TSoAvvW2u8zB0u+FVCZ11j45pUdf/tSqwRVRJd4SP7
cY1q5Q9gD117xL+tEBw7JzHeBgKPj1hk/OccC4vp+TS3aK8fZag9U5rH/bGebaB/HEXCD6Gf5jrh
6sXB1k2MGJaI36xSl+ANTRLwAvrqXUlQQNM0b90UfwbWj0snpj62a0CDkm5Vx0JBBoF4+KwgGW7h
fLOwG3Puk1MNJIOk4xocQbnLhxYXNFzk7kK0hVwtIGIwP3nUjlgyvaO3yHlLsF/fjmGpftIo+4oW
KmkyP+lu28HgFc5bggkNvkEQduo0LZO4Xdq6ZWUVgUtokxI8eWjfg0AN+LkU7dPsxqwiWo+Cb8Ax
wBzrbJdD1AXxweNE/OIAGixGWk+641iAnGRjXSISAGil9EOuCoOoMevYd4au6r6zlnbPZ1hsCxkN
PJgLcgXWB+1OgnTJs7xbYANpszhtRFaWthvWx4Cjrcm9cSgraTam7NxNlojgzvXQZYGsIqzbMKFu
HdMpPuywN15Tu1x2Xpd517VLM1VWYrAY20T86vP00GWalhXU1pewxuRkemyTVRAPuGUBOrRNjivS
RwQGu6zqQRtQsmJv1/N4KIqBe0o12gKzWrLcUd7TvWJD5yNsBmrL3b++x5oZP3XhMLMTJCQYTXW0
jRTkXsqnd1E8BM9ZDA6jqEJ20HY7sTkCE0skArEM7/k+zBhViazzmBmTwTTRB+JADu/QiitKmTHT
Lf3OX0Z3HdBZvZHdWVK24203jvs4SMWvqB3SV5jku94p1ENnIA1YyntXwK03PUroylsCrlCmX3FI
wvgWgEu4Zm48XiQrxwroQ3aY34bGae9CKiFm9nSWvy9Z/BzMqbY0d9iC1lpPG4KVBee6PePonPnv
G2aCi8oJg7ssF4xfhvvZUprAZzX/CWZZ0zcPVi0TTr7vkw7/OQ3xd22rl6KJXx0Tb/6eQnA84VxP
uwyi35pXq7GzSLnd4pBeS3f0OA4676IpBNcHmsXYJZKDdznFA3X05iDYOE0zrisSI4+awM+pVVjE
KSKrx7NWDl9+vWTo3GV9VQUzI8cA1g3raVC9oRiZPyUfIoJsQbtKQSMRrXeMrYoAA+U+iw1aGB65
t1QgAwU0pSzfpn3o73j87NelJRvcquqZ4Y8aHmwJr1Te6CaxCWj20PdQgHIH2stoAmDKJSFohj9m
UWkST8nM+dSwc9rQ6KKuyjmqP23DrR0mtch+t8e2ebYsn9KaSeYvZiQgZbf+5HCWzd11DhR4J7kx
bYi5RiCuBUMR8eFDOmB4vFhSTz4m/ph/NBZV3GMaRoeytduF8jR7OYSyrt7MabSPQSNtWg9EDRsX
XW0z5vWzlVOdS6zy1W5Z6SUeFyjLYI2IWyTZxrgf4Pijyw9hja81rxomz1q2ZENak7Svkj+hMVhc
zpZkWpHMrJ6TMnZ4p/kNIKbStSmMKqxr26m3GM2AdydVBumZhSTsiqhfmdhZ94H0XurS5WcHDu7F
mGyIT82SvNl2bWxzuw5v/b5CYKtq6xdN1vnO7qR298MRKFua1+xMqSPXzHglEgxgw9wlpzykUpod
dwKtgrtFDwS5jnauLPJrJzT9oyzqV4K26TOu6PoXAaz1QF/5wRXTicQMy5omg65QZXgr6OfyX0zD
tn8Bxu0QZJvCP9lYMfYLxSFMpjbVGwgll1LyT3m1Fpu6WdI3Op3itddAnCmbGqe4y54dVJe1611Q
gVFK1EGheJ4cW6hVnjXc6vPMem6D+uDmYnwYgJfkgCFe+9zFzF0I5H+jcKq3LsR4LOlqRS2AEhRW
9N5Jr/xs+cBuJ+lRCE/p9m1cyJ1V+M7aG5PpUpUVwoVsahAWpQceEwxNuwptYj2hx8azU0zlburQ
emwgauhqJfXjGERC6qJQVy5FU89ZPw9XUkbdbTWwgDNKUO+ehr7nGv/eahC80WsmfEiWDWlFo+JT
DY3nDTc8BgkgeZk2zTvZ4P4OtO5yh/E6MNd54Me3vkbQN1UZontoLj3wO2TzHvjqba/B9Zh5jpg+
mqtWQ+0LFhuXrQbd2xp5rzT8PrbB4PsaiJ+d0fgakj9pXP6oAOd7yl+Qskt/3fFeLjReH8QMcCxK
VzyN3s9zrZwwV9HtpvH8KhfuSSqQ/dgmH5NQiZPZD8YXPyr4/pHPRirX0P9J4/8lt6c7+izpBKjK
YDB3LMz9LUJ/w7p+Ni5UJmqiM1a+zrwuvF50zUAyxRXDq+4e8BKoVaUuJCjP3QQQj/J7mAvpVdco
fxePLscYoabP+NxsAKVQbblcye1SU3xgnTsQSBYy7qIND9c2tzQTO6Tvvo4gqPCnMikyM+pGBfL5
OEUwMDFlRXES41mfxAU7arjX7bmVoTF9hDCaGtxk4nVOdUNtBZLN9pxtrMbNv7xzxwNV7dNtqIsf
xJRGL73Tp1eJZ3Rrm7vea+WNrxN0SCAoGgOxxPOeAwOXNFumZAxsSgt0QOTcO9GfOygCVzXvXsLr
lf0oh8UFFvNo7+nqCleAXmG7qBstiqrRvXu66KLWlReYtarPtqMGg78Nb3hLB+dFqmsyIIKArAP2
gg2I1hEiRuE83ta6XKOLG3ow/WbmjRuGV0MECGcVtV10GznOsUyIH82pSdTISuEfMDasvXOXB41g
4UsD9mEH3YBv0de1H3URN8cRanfyeyL1v81R+T9Va7d1Kv6/FNqrYuD5e//627Zq3/O/fX3/7fp9
BHvzT4L7//8yf1fbqbfFVhkQd8J3C3/57ylozJj8uaN1eMf08GXqRP4fajvhacux4TUKBHdfeIST
/0hBW79BcmYxAJOKw5kc9L+ktv9Va+frexC0aH522ek5JrL+nw27/1gMmXZnX5FFgbAY1OLgzjaB
uzr5avRuSAa81okrEuzXW6OmjMSh1pukP/08/wP3sPXP9mGcoXw3qP/CRWkgSHTmO//JPvyPRVPt
2BBuPfXFR/JdZYF5cIldrSu9aZolPj+B25spEXjHsIixQcdMYB23AAotAcml6VjgOrX5M2d4KfvY
zo7/9bfqncFf/+BUaRcrf+aalktWJPAd6y/QTbuiU9kr0NCZz0go5d29adC9IVtQl6OBYGUoHFra
ypBwbpE8COj5EQUO0QgRFyjTKJBYuEBwOhH40r6IEoNExgvpotGeCdGBq8m1j8LSjoqhzKo9vSS2
B2XErO4Gc7A3HXcuFpQVMBNMjLtBMhFCQSxXWADh1amRdXFGi7FtFxgMMxHu5JjNGLLytzAbKARh
NAIRzcVZBVJVm0SWw4vS9pBKG0WiBV/ToigQqmOWGLKcnuapYHuAroKdJcGdA/TO4QVvZtgdxhFy
ISJIhOne/Olscj4UGFDgQ4pmJbRdpZ1Us2N8am6UNrIQmMXTIoxm/gQHzumCPFRcMI3zQ/Oy7gL2
RHTta2tMAc5hFma66+Xw0Lc+2cTJ48XcdiHwxohg/c2k3TUEKKcrNBzzgP+i3vBzpBl6zOlYqP2T
ksFXMqGiYa6ltrDFsTMHVfJpizTYeP1g4q2TnLKMSdDV+K2Qt9x0C5+JPkzDdZyM45Fl0toJWn+N
wZkhQpuFvK50TrFIeyR1rGsISt6eu0K4U4X+KdmIOg0NYDcZUJIV7OcBQmRlvEVlVa6p6LDpAO9R
CzRna3ZamoYXkj08X9N7qV1NwO3Ko8EJep/2S3HMqEejoZMpiNURcaZxsPbGADOUa2tHb201ELfG
O7IwU08po7Mhut2U+8hf6IaIfaI0dzVmwdsyKSA3pz6GIw8fwtrt2NoXY0MXiyut02KpdI0v8SPK
K3b/ph88IWdv63LK9gp/Lhax8obBXBzDRY2Eb50AIab1XrmXirWTewlOP5IsGJpO6cLvVSw55W5j
dIXh8CObaP29iPzRWodVZdNvQA8CglI7XEYwYbipTtg+4bHJdZGHLQM0kHIzH5t7Vw9gQS8aIG2Z
7ogqAA0YrC5vDSyWKxsxdBOV6ZdMO4JMTePvLGbP40yOeIXmeh8a8tOmUIbEKuHNyejvioxyc+yv
/sMQA5+yPcg/CrwTF6V4IG6ehCdP9AqvQCDfFtvihidUy1g54fCN2+qyHWe5F9ygds3M1CejpdqD
vU6JWChyZhM53HEYb6g5hdycRMtLxvX5MuqDadvj2AQv52MPjLBg8uOH+NQCkbIRaj1lZZdso/Cg
m9zEZrMv1iPmlDcSt/VB4K0wKzQ/wh5sURJKdLi2wnNx682M0H/sJ4QWUh75zo9wKaZQl7QqYO6H
tMbj1vJmt+LJ3w+JSDfK76BCcGvH4xVe0XN1krCdMD0XlrkFC+ZckqzmwebdQVTSbe+GJv6accC/
LJin1qZbuLCfYLIp+qwPkWoZ/GMaUrjZMbKQKLzM0vm9qKLlDsRGdcpArW3YnfHI4WLB+rsUD12U
KPDBVbWrk2UfTKa6nwe7RgTj/5uFxXCZGP28VYavnpXJ1Y4VIKxU7bvJjP/H3pkkZ46cW3YrMs0h
gwNwwGH29AZ/37DvIsgJLCJIom8d/bZqCbWxOmBIlREhZabepEY1kFlKSpJ/A8C/5t5z+YDKaPqS
jWjjjEAgVM3Dlw4L7JlLU55lRdJQTd7TkfjF5lvJ2IRpUrkb+o64KjxuGx9z8V2qR70tO+ZHcTyy
W9XSW2knZysoh8desEer8/hLwgTVzkDPzTrayknoq3rEvl5IXaFP699qF8J0mL4X6E/3auxv6zh/
HsrZ3gyjlXxTLS1Yzk79+CFL5sGF07VIt9Sw9Z6uR9HAghjmIi022rKyvSlQ0wFJ3+E6n1hxyre5
CS7SXg/31lCG297o3/0Q43soen1XMos8F2VWftVNEJ8LNFIrh3V3mef+hRkO8ikM0vp1TFEZzwhP
dmHshZvKH+f16GM7kCRrE5nC4NEE1r4J9SWQK/8mbs3gk9mgFutFaK9VNt/laWocfc+/y4wZi+BU
rQGIMz+PxJsXWs/LGmvVIfxd6dHfezX1fCG9x6nwn4u6YDonRmNV0dKviwj9roGTMPXzYzlb3OHu
NO892LikVdr0N3N8Zn9Ndo6SrIFDJMsQgt+z0CQLkEjBdUrZvK5gsHEW9V/r0DzZHFIYQhxuSB4m
AIQqvsU6/VrUSJYqwrk2ZGRFK89tvG01N8310Gh1qqJKbUEHwPsYWE0ZpGpd4QZU68bKgj1YWPsi
ZKZxUtOc7pxZN3cz695bieqm6712ZVfkGqSkZd024Nt2eeDgCWEocjE65mEkJWGn6/EiwKQNAc+M
t2AMWQs55pZUX1ZUeXqrqmog5tKOLxJUxNCPnBIPprDXfge2v1EMaFM37naQVJytMYUOtgi8KoNn
kYzjjBGdfEXazRR9mQcSs1qd92ekADPCaY9vIfY+ZaPxLO34SyQMJqsl85htnNrXBPrsgWS7m64w
FeQbsuLOhkhTZnROcBVoGCIZiUjHyqDYmnrNgi8uI+NliNrwhNvkYrLR3k59Bvwh7ojMkXBamkVW
Wib1znXGaQvWxkbMn8tPOQXIyhVohdCgT6xqOhRsA0Orz13VtWSBu59tsyJInmfVIRJptsGevuvJ
GQFwi6scdqbehYtO05SheS6CIbl2B0c/YtpM4GuzM1pFHzJPbAPduhwQ0VXFvYk2/VDlY7KvXcb/
7SIUTRbJqLmIR+1FRhouglKStlGmsQXsbxCc+PuQFQpGZyee/7+26TsR6mGq3v7+Vx6kRdtMd2+4
jn7yrFlLxfz7sqatrr78gpf6+InvjdWSkCMWuBTkNNZyS3jwP9OIhcLkxjHF1WU7JM0uZrrf2qrF
G4fkyIcq4YsfPG6W9zc8WCYYJumy5pPif+RxY3/9ayvD36EncBzSeCzUkNaCY/uhlQHxp5nlEkcM
06q/jTyHFBHtQ3DZjK2vBw6nWbAzmKZ5K4CTXwSxnPdqsHBj+VYWPgeQ++w9Kxmba1fNU/qJ4c/M
6toqANPgoUMY2Nt296VDTMXgthYE4TX2VDJGrUjCZQIpO3cn4tlqACkGPsc/o2LUgaGw92Meu/2W
gZXU+7lfxLHjXCOSstzazMDAsHvGHm94EvBl3m9iIB6gJAWrQsOKKBEii/TVjVknxJ2wPUazPycA
bDYLa/cxcqe6WIcgaRvKdVm82wRbMNwjULC+ikVcPysrdcW5ZRy0D6JmpDkYkPYuPLcyWyMUYVjM
1GXutmSIWNmmQqdgbfklPE1Ch1RDjMp3rOxykI5jNT0bVmmGm1Fzkt/PNbKEXQK/ygU4OwwTmpok
foiFCxjAzeKBIVk40Suqhs+R6WURbXQ71uMLP20s7KSxHx4iHzjSLdEBFczDQJqgl7AD3SV5LeQl
dvh82tm4BUhqm30Dk74O6ueWlr0jro7FKa67vnklozXw7iOidOiPpKzmg0LZCekGWBEWHER9uwi9
FytfkmLnm84WNR6immS9laxJPl3NsWDe6rQkC0rsRmChCs+74sSr7TuP/iTegIXlXbSJVT2X1GPI
bQZsOmzuJMrmMGpPVTtD22DFGo30OlPjcHT2Y33VRnBwQYYT27lRoV8vEKferI+Z6yJiss18PnkW
WiC8T5n6TEth+Zu+dwBc2bKLPkWFF3g4SarU2UqGl/oIXAfICjL0vH4e4jx5J2gX2GBZOKF4LWUz
Mk+P5mTd0fpwGFuF8wXFBV+SsiQcs0C3LB9bBWJ0q3WH47HhnqIAKWUYPVYyHb5yiHToEdCKLQtL
9pQEyKIkWktm5dY1uQv8snAkGJNysdSsiJqpCNkzxEbDNr/mjfHpwmcJzuVYk2WBjkURKOf7403h
L6ug2ht64x6gl3KOyhDcbK1QMws8ZtHY6yeRRRvRjOPNaJnpRKr1x63YghmIIzbuPb+iApI4viAW
ks4hMia4pqsysscyXLc2wqRXJ7UzaEmt341GQ752/IFFYM/rPzGXdUcHMMHIH579sXqGptwChkqR
4uy+X66zVQfycyc6vvTcIE+TDmW56Jg2kkKrqt6Er6HnoriIUnZmK9vN0nadaKgZZCwh2MM6yUXf
h5LVi0J/VjgDVN1wYgtUYXL5B08ljibn+d+iVEZjcJjSB+VrktJU/z5GhdkmWrC8eA+7sdnMheWG
O9fI0ysvszx4LymA+h00c5aasLVtvZpNOfxHwJQiDMuXITP9M6m8sQ2L5mdMCiK87OmDkFLjbriU
7NQh0YdVcsMUpep+BKOMkxc9LkwUQgAbwTeFBRNTBca+W2UNXQc7eoAt14SUb3w+VIGQWLpYrH8A
meiAte069cN4ca8u+BLhTXf/CbmEdCj8v41iYVi1g9x8YEumKkpH+itFwtWf0UqUKNFTzDIwEmjH
sjCO2KqDT2Oa3HfzHyFKUn9IkXt2tFkoyFZM62298ZaM9tnhhv7BiFZWcKDWDOK5cwGikD05p8hL
TJlF712J04EnNsgxrIJocpNK13vTZ7z13X6GistPt8O/d54ldZ5c/IvrbAaNZWx+33AWx4bLLheN
4H091C5OorD+p8/Mw/Os1r/Yy0zN5JInCW38/zWVWY6qD1nhzS/9VAD56qwuB2RRseEMzaT8ytGY
NCTLtvGBUPD28DFsCWf2KARZsl48xQ517iHLEwRefcc3tgK00L8ahNe8oQ16RznXXP42NZkcP3hW
JNi+4AobyBfX1VdyN0nbTaYYy7EZgEYKl0kIEfOS+VPqe2csVol//m3gActypKhHbPTGGEC/f0w3
eMIjVVW0e1dIvdtvv80wmkGAwymD2bvoCmeu2KMSuQrKT91W1uR9AZFa3yaGG9/xwMy3vw0lWhUJ
njZVcKmydP6mzVl86uYwxRWpwW57Dru5CYJjYQLuzd0q7J/bIC54fhBhpq+IwZgf5ryy6cVSBV+p
1Q2SrdSW0n8uqcjClUUONloh5lgYxONG4ZxM+ukyKgP3OUVYeFXChfZXsy2LAe2QABriU+e/MyB0
GFcNlX5iyMrZ36sUwWYcz7BnrGAuV1HcWjtMLT1wv5Y1MCctrkWyCAvb20HEgxzDaZAiY2t7d9cS
ZnR2ZNGTLIyiaq9ZPNNZej3xqWVdtubtVCp9aNtcvuVJWJ7miIf7Sto2io1MwIvcR8KDhDdbU5xv
MQV2DvoTvgP12Pti0kSodrgoWfPTtK9CNuafrZoXDfJbJnIDKd51DgHjQVasuo/0liIoJX2Um2sj
RAGBC4KQ8WYtgYu7QTGG2pA54dPkGVa9wcvT7gbmncQ3V/BkOO4qWFjC8JAwMxvOwVBqv7sA/9HB
qQka3aEOslzjbvBilEJl73vA4Dg3lzWvyMRLGTvipbO9abzBxWQSnOM41V7GlELgtMzeBBDT19G2
mfuqu3GplOILEYwCFF8wWe0plJ1Pf87jPL3wE1+T1+5Ut5zIqj85JFERo0zVgeUtizm5pqaqXpGu
S6Yb9KXWPh0Zf+wQIEDhynxhH+wEnOE+6VsT5amPprGfFfviYZAuSd62SdUK2sEVtxkjLkGwXN/f
yAHZHco+Ue07O/XPebX4CC0KPE1XO5iHCW0EOiQjds9TgNZuHadjcrCDMLmzupFz1akc+U5xdOXm
iWDao63aOwlbjwGTghm+kF+BI+OSJOF5Z6BXPw9paZ9zrSoHc1qAwoomOXXOZT5y/RsmE3eCnQem
TxF1xrNXhYHCtznUV2QImXLdj+WtEyCN3pidiSuRtQVFx0i2a7sJDEqxRXI6MW9JCYLFaOTIbR4u
joaZMuBLg0nzPktmjmVmEellIzr3LRQehk4D4XQgqbbwXrvGVZrlINpE6DMJjDJ+PiCWS4Bkrgac
0cCYUESSdcNUpkSMBnY2djFoa8lFWhRlx+ykj/HxyXwomEOZc13vLYY85FvN0rgwgRrUUB8A7Z9o
fFpM4XYXP4EVwr8RLuE+Q046RSwdJpFDFKunmqzhnBfNs2eN/6w6Jn1knyw8a9UaOPpS1jCqpr8A
2/6kqqS4WEIpembk+NSQ2SXehdtLvwEK2zmPdpuWzww+SEJo/eSFdRDFvGC7/mq1or5VNVkQvOOI
gTT9vH0sLFsPR5CwRYrSpDNfAh0Cvieuip+LMjFaF1OaPiWhrVhR+3ONoGYeSnVo1UD6hoOe2KBV
CaC/I0t8t+UQn/Gfj6ytPZbjtmovfF2UCQixrAM2GOE62XS+wXCS6k/jy7Ts+VMkmvmpExMR8+Qf
zPde33h6G/m5fc5kGr9adlASqT6O6mZQXGGINB2xBvmqt1I0iK4J5NaHxgqbe8pv4BDc/siJh/hQ
wYNL11EJ05UPPr304QIjPDaabYUd4RhV0Ssz7QqFYDweuekGsc4UeAkshgxXZGswdIkDgHNYEm+d
WCZvDRPedxgbqB99CIH+CAMynEBKeJyvG8szwMXLYlbkrjcoQVxu37dgIOJxVdGyfG67sKjWZTRH
9qZA4FbvMUR4z6iHYBG4Gk2YsXz0ahAu/71EWX/dL/s9CxH9TqVILNB2lM0qG3sjXdsQDA695WD4
bONxz2FJPAE9pWLRAVYfH2m1cs3xhtmQ3id+84npePgIHdw9Ww0Rc7FpW4c5Hw9Ub9M1Qgfrs6yG
CuRkPURn8tRne4slHmbdZBU3lmE3YBCY6Ib70Rm74zihMI0m0T+OmfAYr1PA16iHy1z217q12EMG
yIcv5sx7LUdhgIALIpNblCn3WRVxcmj7mXskCMGhwLy11CkuR+vI6fPGpi18ZSfWH6aI0ArFQ7Vg
Nm2gBEm8xt74Hlu7dSsTX6zbrI3ueEpml7nqcuwBMfkYWcXVyVnvF+HKtn1/N0yJi6iQaIROhwl7
UTiuvmmjpKTxwwTfNzdEhBbYHQeQgnP2hsnd38GLNJAI2tnZSQzrAEJ4HXOgOdsaU+2bSip7G3u6
vvYz+K2wBYgm2iEI7uU+Sov2yim1vsW5nO69ShinhsiubNlXIo7oPCA2dCGwapqWNTJztdneZUZO
fR1o1E+JKpOT2Qb9raWLL3NYjSfKi/aQTm5zkXWeucJC4FyTDpo9gTfu6+2IPoyzmYP+05CM0z6S
ARpESH4tGG8/HnZM67mWuD6PAYsA+zAWg/+VpPmS1E2z5cu3g35VNREMRjFkAeKZuDb9LVzw/j1D
mHWFk5z7Pm79NFo1VZwib3enr97gZNdsMqruJF3Z32jP4CaKrJnHvTEnzas5Rg0Fc9rO+MZb+1PT
0hM6TSeKfep549cgLZRgCddL7t6J3S1uEsiNXMYzNXnjQO9GZ9TdoyJj0k6hzjwcQNzarohO4UQ0
5bayi8jZ6s7pd3VgPTt1Lc5FUsbrHIfOTuIrc3cj/mRzNNEV9l6xZv05nqPACI8j/ccqbQ2sqCgt
4UwkLd5TJJLHekKnQy5cMUHst8XjyLIWJIzhSjZnLa95dIX4hOoxaOEokbMnej+9gTRYv8iwcDO6
c10+TGPwgMKlBTrqes1xgP2BcyF1uuQB/1suAbB25hKhkgw3sdMbwTUIIDAHTe8/wT4hnc41h/2k
Q0KeAMg6Lt2KOW3qMcnuqAdZcg42OxlPyOZrKovmS5ciVqV+679Bk0My1dnzlojBbN/nmbOn8jSw
ovuDcxp7PCaMxo0rDsD6awca6iaSITmRbGdpwebBurRo/cu9QbbuccBSdSxpkm7zvt95XqbmDVu1
7CsD82pac/T6R4bZ59RWZMM0QXQQTs6DopujA7oqjj+K9Y40xk69NYM56bX0aNo2rTcRUtm7EB/3
IzaZW4S43ecaU9Kh7CCR3ExNOu3KqH3hOM7vE3bwbL3y7AZXw7Hj3e47tr94SNy0e3MGPHinmT2x
eQo9yCjbOh+Nl7mR9WeVt1dVYuXbkuHnerS9+HMMeeGuaUilk3NqMUCDK+WzlzsYYce80DPuy8AB
yMOobDpQM/uIvW0YkKzGQja0g5tf9B3SV9rJAkpd4L4YeSwQX+GuSfiWWtAj7NndAGN4NEuSnqwl
EVKTx9NFjnGnMUseqXkkt4J9J7yuOzH0CwnhNLBHGoZzGTjtdFGSwxttrXnJ2fO1jXNjVgLngocA
4MpsfKD3HZXdoEEzbrvUKM8syyHO9VXx4kU2NVw2vYsc/34Nnu/JyuyOwgpDZuvL5ATtsbkE0ule
WV72OBtU/0VfvBI1Yz5IrbmDAO4V12iBESmP+ql1kH5fGKpon/ASGae6UO2zKsyAUE8wwdZNQh2B
pE4qhIG915nZpg26BGY/XAPGXUMcinlV5Q7vkVFfUd/EMwnfG48VfLSJzFo/eDksBRTytC+raZkE
BU6MKSSyewaXNYZE2IFtaUK3yQzzcSJ1Z4Mvkl1JiGbvbKChYEIcR3ArnCF/4MRt+p1bxNRSJctC
kgOJ4wqPeAL7nPSWhqzlti2DCCgrRdUqUukQb1GhjdUFlQlJP3Xb8JgZHY+mi+9UMXyKcijFP8z3
/436599NzCUrIQpKNJBk1f88Ma9JOiMTzX9Trjchle1MeZhmsjrXU4lo1ym7gAjuoJmuvNSoPv/x
3/45WA/LMQk2vgWg0cdW6Smm/z9N65Xb61qU8xdAF8Vl7OPkw3SZQLJtu00s6u5Q2ll3ZwQpPt2k
M8zvO6DfjcUU//L3XY+ZwdJ6OMrzPPOXbcGguiaMarb4LKJhoRShMcwHD5erjTcud/c04Ews/QEn
KFRnY+w2o9vPHaOCaemxO2B1eI4IXucTWkpiNmSMPknPhI4aS7YPa4zQAbtpk4ShjZ+jvrn740/w
X98CTHubDxHbMWcvVvCfP8IIB5QxugzDZ1NE0TZHDcwM1I/j6VuQO/ifKuUIk8PL5yoaDdP8miQJ
2aqNx4B2O0BfTda0LXWymWQ8pkd83lN27sowsPYysvLFqsvm9KachXJJ30ps4+JP3sLPWdxcBZRO
GEfZKmE/h1P5y7dgRK5gHu+QpAC4Dn9wEzHKN4rCMmGtwmHG6yDEIqZI+Y6iQvHhhplYPnpjHJ5I
a81JWmsMzN/i41swasPN/oSwuWgSqx91Z7xIJXxTUrhxm/A6f/6cbZvzwguwlLhVk/T7AHhbec77
kNdF7XHbRkP85qct6yZWvnzIH1eFX/pcJxYZPe42SkKgICMYL1whE86NP7mP7eUV/PgKSWbhs5Pc
ThZ2dMA3P7/CKpFz5keQ+fBecw3Y6ZSplyysq55tNXf4l7zmU9sMRgQkPbSskK1/aQFqDCe3JCnb
s0PCFrMqYKFlRXG2Yxemw80gNbm7siEPsEqWtRAjgUiuh3aynqQM3GblN5lLoIhO0O3XFNDjJs/p
OSiqa7U3VInJouFCeqd1Su6w9jB0jWuWJ2vQfAYwqUENt4OO3AdUDzLD/4iM+c+useU2+PnDsbEr
IVLgU3JQXv5CSGVxEVVBzVq/7bBD3H1/qGpL4yYUSA/cK84FdD1uzD4GRFszuUeMe3NGkms0kvNS
T61g+jGmlIdZXXAv6dFeIoqRdE/nPK7haK/aoXXVn4SAWssz8OdX7njcAI6JnoN/kr/c4Hg9Efaz
lyLnMBojssXVor5s4zlYx5R9YKRk6diXumnpCZsYBeJ59t0wPUmz4J8d+s5rFhhE2vsFK9p1IaRT
HTgH0gTewERyY+7inFq4npYG/9uxfVI5TqCzNaoypsgrsERtVNMl6kvl5ul8ZHCUfAb3bk4Pf/wo
+Pl57KE9RV2rXGe5jE0eS798S6CFQLH8YThQCEOFcsj5D3OBrJ9vc14BH7IruYFsGBjw35bT8of9
8Uy8C4kGOlnNUazLnRsKhzp4VoxFvm+l+Jg95+gHTvQ5Nkr0SlnULE9WEVrfZCSrYk0aMoRHi/ly
sLYyxq273B66lyLhHKeBDoKj0Q9BvZW+7+xhrGXVhhwVevBCzgaKp9wi2JyQcBAZf/zpLgCTHy4l
D10LOdoKzq10bQ/I4aJK/uHNycglSddtX2mu6kuGReQAgPLj1TPk8C9phLuAWALPPgVeGn2pTGyZ
Gw+sNsQApQJ7O/hFK1Yl6o5rcEOLAChJ7i3SECbWYkLew4ZLzm5XcNuYgSwSAD8WeBzTHMQlbieP
BCDB5F9N8O43VVGAW5i467a5XzV3TkA/t/7jd7yIDn59x0gVXAubMQ9tZAs/v+OMfJhMltlray+r
QZvFDW1QqZfxH6qEAuKfqsn9iIluyPpwjPeyZHRMW0Fn1tZ2NP6J1PoXfcLyFeAukIjMUSi4lu39
UvHAH4s5Z4jZhZfIvrPsKuMeoVYBXZYIhnoz2u702Nc9iC3MKkG8HeQEo933ixjLZtdiFhvYtSck
fkr/vYgUQlukhe6VZ6e22HVVmr83sWTbKqs6v+z6os7uzUGNtIjLjpYHTfVswZJ4kB0rByzS5gKM
Xf5X2F8V+wZgBN56Cvu4J4cHz/BOA0UMViUxmbhMNB0ouIgUryxeoWgz5UgWwfJqnBzBbMcksZYj
arwacitDI/qKiF85OIQP8hRpPxPtwC/LPpaoVk4e5KEgLvNgA0beKZQL9MIy6IIt2YxLr0O86gh1
K6vLTeHlPkG80FdRC8Dyv5iySjxqf2KoLUvaNyRLjZet+twH1VG5Yl1YIsNECFIRLlwGrQA7pIs/
ZxIdG7OPK+3/mX1j+UPfGPA2Mf2o/u//+scfXgLgfvovWwJR2+m2e1u0PRrg63//1/dyd/k3/9P/
8x/Zcd+VQl9e8xjwvm6b+Fv7rwwjm/Pm9+VC/6Qg/WX6y8Xb//5fPymNxAcDafn5f7gyBIhsLF6+
b4EsYkqheP4Mb7r9+18N72+U/5RWaH8XyJFFbfObeIjbZMmfQ82zqHt4Iv/Tk2H+zVSu75icirYy
AaD/TzwZv5ZPruLX4yjAgYiJGX/Bz48K0YGTdODG4AXT7tax+uQ4Ck34NhGomx8+o5vvh/dfmMnd
kH7U6r//dflVPx7py59yqNBc8vg41+1fCt6q5AwzfCKuMJrWm2moyCfyG/pkuxZ736jlRo8xd8zY
qj95/ng/n2+L1YOxsOM5Fi+BcvHX508XYk0UxKivuqHKd7qdJImcgb9NI7DNVBXpSTOmoLF/TQ3b
2cWsKjY6xLZPEpH7EpPiCcZMAJF2+U+U3Y+lWVM0BEQAyzG4cK3MWxV27B0nCDulq/PjMIXzvjKM
8TRk/SlTdbLFOYJXpI/qPTka8TZXxjNhqtknPQX+Qdapx7NEG8Ed2ohkF3kxUMXcfwwcf7pkk+Du
zNFOv7XK/uol4x0lD26IyfTYzJST/kJTxo5yGvJjZdNoY3XjHQhpHeJ4oEbzpsg9OJMiiqObhscs
ENUGvnh+cDrL3jqK6C5vll2GUd16BPy6ZAPU7rYyzWqlrdIDRwPjJm8JsmUzHV6xz2vJ4Au8XTm1
n4vYf01V4598H/3WH181Ah3drxcOtw7mJeE7liS18NdaUIZj3lUOE4eRUSnZBtK8NIMIEqnRYfcw
i/m9qpvqBY+xWoX+EqMo5FhdFtpLwYYslumuWRYkEdkYzmKpdszAeSBttaeqx4UQLdbrWbehXJsd
TJvJtfgIg5pti5osAgJna2P1WLjJxQ0PDPkZiy8Gb8oZcxvh+VZExp9sUuGPFQzA26hhM5MsJnEV
VPlWLcbxoI/f68VKrivrW7KYy/vFZt4uhvNxWqz1mEO3M+xMdz0Dwk6b6KWZDWPFcoAFXtSZ68Sr
nj3DaC6tyrIOjuenODOKkB49td1HjgjzMsV584hPyHrJUtNiFG/qtcfQe4tl1XlQYYPpRATJDo/R
29AOjJH75soCJQXTKDXuG9/9FnTd16FDkgBt7CgMciDgeKW3eF6MO2b99baIENKBVZ/W5Uzp0mVw
F+wpjjYx0PGH0vQvh0QKVpGivKtCsDlNk7pbjL8N1yf6HzqVfp+58aeZHKljHy5iZxvRMTHRDIv6
Nsafr/C/BtRkWM/dT0WHCr3pOchQBagzePvsTiSdeOghWwU843HWBEASNyBzgfDbBiZzkdQngVFh
K0AEHfouAjhZ4/RtHQTCxpz3jAZggyHDbUgqlPLEYStAyJIeHrvlfDmA3VgioHZj3vubAl2YWrkG
dFSqrU3Wm8Y1eJ7xqOjft1rW5qbxjP7EO4Ikk4gqWBtJIrYAXGDPTKl1KrmT0G+H7cGrrNcimaGY
9t5Vb9TDmYFmvyUROyd+XFl7a5DyluW+3rsMVAD/ZFH5pmx32CpTnqbQxWaVViZsNJY0tg1R12Vi
cWwZ+Ox1PFWY/A3PurZj1h4Wq2Ai40XsrZXLvEak3idy4/pV07jwxxZ4jqY4Pdi5JnbP6PnhoKbh
gn8hjyNTJGIzgfDUtfNp9LyvFcvDVZK6FuZURBOAX/MNzQUYH3g+bZqd8gXw4/cL68f1GG6NCwDI
sqeTCRHINRJ8814esoDr/TOavmrJPag+T3UqbyMRxps8xa9k+Jm19z6oQ8wwFTc8HttqgRLR0MMn
SmoHygdC/mTj1djurTlHBKTtHlHQB+Gop2/cNwv2KFgASOkHC0mnrv/VjKfsBtkfdt0UaFK04JPk
AlIaP5hKhB6Z52wBLbk1w5h8gS81cKXhm3sgmYAYFnu3h1Jp+Mj2NbHbKFmzKxgnMQhPsE4VizzR
NJCemgX6BGVW4I/3Xv1wkEifFjiUje5gBcWkeACHNTyNC0QqqsFJjQtYykhATCULbKpfsFMZNqFT
hIsaUq4gwMFbAFXZgqrqF2gVI1Qy1/oFZWXprjmXk4GJoPhgXWmZJkcELuEjYIHkOvigYoFrhZAV
hmjpmwWbFZhMnroFpaUXqBZHZ70DWxxcNYMmKG6ey/cMPq7+IOVmMHPdD3pu/kHSDV2YXVM3pS90
xjOytlwdnHpyuFMynV+5g79wohVK/w9Or4TY27b+ZbQgfN3IKA7NB9YXvm+/gH6zufQf42jQe7lg
gN1glljAoju7762LJuV6A1WQHE2NFKBEKndGZocOZcELO1HibMAxXg6FUC/CNPK98cEjdrHKQgQu
p3umkN630IJMPToChLEgO6gNsnDtKyR5NaTjYbDrp66djGkVs1dc4bHLNqREBRsIMtEXx5HTnbWg
k5EEhmtt2KyeaWx22YJY7hfY8izBLosEALNcUMw+IQNkt/kJzW0OkhV37njRf/Cb3QXlbNIV31oL
3hmbwitSXPtQNWQVeRmmzsJLqkORVFcDe+ItdQEP2dZQFyitSJvQzj2MC3WhLYOoBZql5tl2ayZe
TP23kHuIA1EqIggbVYcD+28TJ/VwFxNLcmsSEU6OhuZJJBDXISDKiLtmELNqLBuv2UCEnt/DG+rD
WxBR9jpXOBdqhaky94FBdIJb1Cnqfg37usSSEW8n20aY23h0OA15cyOY1mdoXO0uUROdSOy533JF
+ErqVfKpDlIQEn51RfTc1upibrOUWoWseri5KU84YeryJhhsfeN3tIgrHfjxKehb7zDIVG07owkP
TlVzEA31W4W+8zKGu3SsZ33dS3fP5PneYr6+93ycUBOch1OA0A7x0mxCGEwBCugKWn5kpO1NLkGx
KKoXVTXlLeob/EipNdn7IGkMlPCx+Mzi0dz6DJnvatTFn8KSxwMhhOMX9HfEdY5AhPzYNTEjOjXm
Qv7lzhmsatVX/bCmsraQwmsLyKRiyaIR9TVgQ4G9K7Iqe+bXHrslIODpSk9wmSudeuD57PLJ6iNz
hY13P1Iur7m4k2cFpHILE5ytqz0R81Cp+QbQhE3WUghyi0KBhBVUxUCuxvGAVFXvB5+Hb2433db0
hnmjbbbKYdyZO2Q09l1mJdaDL53nsrZfHa9wz8QgZg916LUHR6lD5WQNi+T6jF4fr203dDuNdgzT
tjIuwxH3JNQCJhvSQNU6DUDa0EltxsAgwI/BIcLmsOqeTQAhM6iDwF/06mALjbgm1x2LGIqk7AJ4
nuAIY8E46hIV8TRkRFMO7DUNYBWzSwKkmgkoDuzG+GoOgX2dFn7z2Ykj572uwUM6XDtHhi3BtZRW
fiWQya1CRnyXlqjIZ68Md6vagAiSIed7D0KfmXuusUrbqvTumGVXkOiZTaS6ra4az5H7njpgV3AE
YxeWZn/CapY9oI3pdnYyAWi0zTC4Jf413jcZG0Rsq9xcfT/f6L4friYM508oZG3cq2X4UEWoZELC
bLAi1S6uBbONtiQPTRe+mcO6gSi/8vtFeo8Q4Ux9ktyZpC7cxazYD1QaGP86uHFfUw01D8QYyXvA
JPRp5m55tvEodCuFqP1gwZHaWAR+cdk1QpIThxswHGUAwbQ0BwIhS32TMkdHP4xJ6dCFmXukIMhY
+nR8RJEvvmCJBmdb11XAnI5jsKv67mLWCWkNTEjk3oSFg9t4SnZt4zb3Kuv1zlmcdttmSLpvRieD
l6m3+xsrmLpXFdaEDMGfPEgA19cYbR0+fiJtTmSSpNvQmXxCUozyKs0VPM66I9DSgo2D+qgP8ZIr
WV1iMVA4Bmf3q455BAXZIG5qnAprR7ZU1MxU78Lh/1B3prmxY9eWnooHYLrYN38e8ILRh6RQryv9
IdSy52F/SM7pjeJNrL4jp52Z1x1cBRReAYlEGnkzLEUEybP3WutbOUibpmxPNgGtlpWupn0Nvdlf
+aOdEPHMBpv+O5doGeU8abxB4qXjhGmISIWsHBJ+qWV5B9vz/SrsQFVvmyHBn0uCJSJHktgfUVTg
zjOrAneWgbO/MbUuZMPPbFgaxRPvTcHlLPTzUIDkbPkgH93CRQemwPvI5S9ee2jk3qrGH7HO4tLE
h9tgosocCAItHndql2AQucmTRP7c5/40kyUcqgNccOc8Zb1GP2PZUDY6uc7GoRD0w4DOeqs77Fnh
QFQ8bAh+202uWyuMayaVxqT2JWiXs5f5NYc+nlRdPEa0BLbxZkacOZgunrCuJiwdDthFz/pCbyTE
74CHEicu6J3pCy3rTM1w8ou9wYD3CEBaYv/2eLzrpXf0ImWHZe8OwU0kTXU0Z+E9WxRZPxY4nC/t
hnR6zEP5QAApDolTWMeZsP0N61OO36SZniXZhxXRjv7gC+73q3yEQ6fbMyiqBK6OnZN4poGScVut
bIcxainTqxOajMsFZqvw3mXSmVc8fqy9US+dOvSiAlJ2Yb3LmFu7NI3lw4o0HaN71cKE9LtXQIGc
7zFy7mRuedV6YVfNsFI8J9RpsYAMbc14MJw5ouBhmVeINSRmad+TSbUb6rikH6Z07HuDXNVlksF7
0mt9KOkEZwm8okGxmcJ0XrgCKl0+pGPkHGycvQeC2GJTF3UNzJBkk7YK/DLaL8iRu9wdAhodAvdM
RofHMH9mhyMuFEPSVlggzPIuRgTcAXfkrj75H01FpUVeaOYNrmm6CKns2RVBQXifKkNVA7OkITS/
E0NDeZpxfIAig5gL3hDucsqjHr+vEa1zcOzMKQbMJQNkFdcO2lcH2L3Q/XkPBOzgg6vZQ2bCcYig
v6/rZtrimz+kERYvGj4pX3foPS/NxtzYonf2qKp8yiN5HIczaBjwNtIZNkVrq6TeY9U3UbsdRr1/
FBalhXhBtLBMzauhwRkmW7rMOdXoHOgVULIxa/uHKUaKKcvZPXaF4HhW+5TF9lOdb4aE9jHXh+da
zrLdiICiVhO00sZMgTx3XGhXPECyK3iERyLn1oGKYyCCNJf7Owlq7DK3tepAeQnCddHUiMFtDfLO
7Y8CO96qk76NOWoWO8soytBkiN3aMx32XTZIKFI1Wx08FDb0kN6c1kWCZTxNW7oq3L57c6ngpCeM
12EWN0/5KPv10E6Uc8sxxNTM2Q4j+Y+cO9DGzSP9OAZFc3RSFIPZZS0gvPEmRc5cS3fs11WUS6LO
5g+70R51E2ezcGkgwpqE49dQ6Y0+L2HmsZwL9VmHDeQuy8adKJ5bZAR8owAqMVdL/ToYiXjt3KpZ
dwkfOXXW6cGvpHhht91uhiFTu48RYxGSFPhYkEM7WzAYC6NJL6NWxecz2BTzjOdWQQLBz5WmPuxs
A10IQ7YDmq/YYmnCgBnQoA1uwHzq2Hrvkqns3hIgofeYKrii6QVdI6fpW+yx0Kc9Iz/2LQRie7Li
s17CXx68Nti7zKRPFu5zxm+9P+o+ZC5Pjw02iUnlXNlxvKPAAYO8Z1f3c540F3iN8ouirowvBHN/
Ncbl00Ir7T6IG31btz5UbJpYw7lHZh/ydjw2JI3JnycAxIJAGDzhtWjd9hY7J8fKdkPODX5O1BnU
67pXF6/UPl2YnWQ56XTddmz23IIr3OXQJ2ptPM+JpD1I8wscgGkDmq/z72u32eUFlrQRJTCsbNAO
dM0OGy+NU0bVWq7oKrGPphkBTtMLKWjXG92BSpZ22s08OGm6jGxI63w6eBcbeH4pQHRY20LfTARN
Tlkux6OmaCxeh74w8N3YGHiAdrYZO7dDZdjXoKHhX1DCvCHLDViaEDJr0GzTNPSBdYLjPyXFyb5g
55MVyOEWM+1aTWQktwNYqrFMLRAL3Vw9OPxEH9g+ihtz5C6DzQgPp9tXQ0WPW9PcVHol2xU50vFl
6Koc+mH6lGfivjIsYx/oUA492vtus+UYsGzbYppi36IHYO2TNr1i7J5XYq7qx04uzglDILCWfuge
jGx0j1lAmVqlEzFjRxRHxwj3Nc1OMjrNojhyrr1SLakKAjuTLcSSGceQugWZLMga5K5fB7egMFk3
b/AqmFtOdUXDOSs4NQlYc1YO+WnmyMDnwKNizQk34RBJTN8x7folc+rPIQ3uOz2Yb7PEnSk+TY3P
OZ+aNbV0fKypu5yspve6NeRR+3OOVeWU688Tw8Lf2G8JWHj7JOmGTVbl1q5YZhM2W+Z44bcRty4W
+8KdHP3RCsb0oJcsCkKrkPzCExalw6+2XF9ON9nsGNtWx7CyMr2Sqz9roK3+7M/lRg2FLocJY2vj
o+4hrf1rjy6d3Ht6nKDXdNpy0nwvgUFDyW5aY+OkNCH+/Dbrqs6psMucm39m2O3sQj5x9ZD/Va5d
i1T3Rq87AAlluhJigt/3bd9l95GfC49ZrbHN6bEuMvOAjTK4gDPaPn67eGkw0TczyZCrvlaFfB2r
2W9PL3ROIjhBca6E/opRJDsurCL3vQjkRQTqmY6H2TmjsGRPGmhr8Rdfr08cJI59DebN78291QD9
U/dZvUKc+YvDt1j65N3IGJDXiMATn4xFC22Z4eD7q+G3NOQH9KbyAUdCRYXfDGsZiz6H1Vxr3X1A
ncw+ApqxQyMWFz+bgRHVizthqYd508hc6YCfc9S8TRxlwl+NwYq1305R/tDBrcO/3k4t9IJ0nAFB
mMWq49/vx9Ion/++YXgaDdBNk1ZdfbuGJ+qZOKZ2fQZiB+uwlljxPe+8d/jFPpzGrMkIFj8O0Xz9
Gxtxh4Xt3rWUplmIkZUgANsOTBaTHbwPSq3gYI99GR0XdHR2f2J4SRk41kPadjiHLXaneM43Zmvq
RwcE3UVcQ7CaPMe6cDs6FKAzcoiKWvnQLyAkxgqyOsRxeL16iwfVTpT1cqq8ZjtDk7+eA828HIfg
k9KziSiok13Zw/Lh+bRsFRB41zVbPtxeunfb0oS8rQ2ep5oeLPdFwVcP3Ix/qwI861FLust6BNjn
0W/Dh1C7j7jzAkZ6LndMujbMhqHO8Jx67WOTkQWjvfjC7Bd5NXFyINmp7WaHMaVxaMTzeR7D47P0
Ta/cq+g5l4EL0Kln/bxyBnPZlXaXHajpuCaazA3fJuz2GJRtdUnWmet2kOUZa1a2RTkeYGN0M+Sl
KeJMbl2XegvPiPpC8yYiU31Yglgc3KbRHlIdo0NOFS3IXBpAnbxZaF8ABrL9PvFEuMjDvgSB1o56
/EZ6O3tJ4kz9GWNgjNDsbCsA94YGgb2XKTZYr1k80awIjAw7U38tmecznp/OV9LWwx2G6eRpqZH5
8GKZlNR58oGsAmXVsm+fWy2d9jWd9CSlKj2cpVNeTpgMIYPb89mL7eYl0jgTW4Prg6pJiq/KGSem
4CD+CAA8UvbZUmjdDSZ8acYVqkAeNX3iaUHS4oewRbRj0kTMd7xDNcUtzpTgPlcgXGwP1uqPKYoH
uQdwigyD7r5zojEsowzuOJjxbo/vo7ull9zfaNi/Tham2h/f6tb/MwH9t/r5f+w+xdUrRWXfMvpf
ZfU/C+l//Z//k1R2VRb9j1X2/xx6kEjlf//Xq6Ifhq9V//rWpr/jH/5ZbFcv84vYbv3JsJ1AB1jI
Ptt0WR39VWy3Va80YrvHghPjDsbe36rtmFPwOnpg1HCcufhT/qK2m38Cloh1Tudlv1X6f0dt/8mZ
o4Ro04B7qBR//tHyftbA3TlOSHuLlT14q5HjziSOchl3VXbOWkZ3Qdu88qSP3gar2r+Qwb8xID8p
8I7nOS5pG0gmjq6E1t84oebIVUQs6obnqVquYA2BfddrqFRt0m8QB1+JG9nsvLlDxyN6XapK0+qG
6RcOUBpihMIk5xMJ1NkAbkfCaWtwzTWdKsEnqKlhb3Pi5n7KvpmijXWvm9P+N9+Av+ch+LYs/vQ7
4Ju1Qas4Hh/VzwxJV2ppG010IsVYf56H2Il20/dGwQckGcffVKrAP1hq88Bwa11iPgHk69Qjmcau
3tBzGYexNpqXQp+rIz0f7C787z1GMtJa64xjv+E9ejfThDu4M864HXUIaWr9ITtuVR0egbAcpblh
5m22sAt1RhRA2GR4irVDXvBmcMc7ALhXbjwH4aiWK3Fm3ir4+LkLMGJ6OjEnJ3mySF+CiqIhHOPP
E0d8yf5Jhy6cGuc0ZZ+HU6sGoBScjcQF2BchjORscFYRoaAVNoYXO8aaFKmNTzcRNjGJuW0lv83K
XOCmR2orVHotUcNSfkkZXOpdkm/FqGwXlMeBTzOeu3H2mOOs6QabPxCWLiXnP9hUN87T1qJlk2O3
fHf7KEQES6CaIQfEfPyK8mJ0pKPk8iYTcXJ8iHty1gVnShFwIovCzJRIlCQdCSR2IYiXPJSsFUZv
pAZkNGGODLcRdDgqHK9s0lzrqs5fLUhyG91Jvjp//tRG7W1Z6jsx5ldNon9NAfz/QtLG9daxf09q
6xjk1bVmRMd4KTYk/U4SCMmqJIcVVqVaCojEINcb3GqGjgEko8PV6G8pHuk3jO6sMPzq2iMtJjPd
CIPGDb3MLrk2tQ8SQ6zGGv+JEBcdz3yNMjt+A5N70+T1M5YSONIR7bcTTRAG4VtNu9aLhWeLTduN
dOuQ/3vgcO4TCI03koOX5rKconGhMDHVdqwqf8SZtvdrAISxADZC7cKI79+jSclzp4MIkjePspTI
S3YSmC/z4o/RaO6q2rrMtb7YtxWrXuL562huzJPeN8YaTOUx7QE6ut2GtsOw66qtHQ+3Dh/NbDAg
1vxKiZ28tRRndF0MJtg9cLKhVKA5SFOx3RLUK33rLNNOqKwQFDWPdSiCVAJDOYnJ8ccHjgS7buK9
aMQpTmQ4j+MTvUQ7MANrI3Au0mXa1oJqCdJBimFnP4O1WRuT2FdxeljaclvmLZwake40U16aHCiw
IT04ECHWA20FrCTAOgxU1NAfSc+28Yn5el+62RsMg3MbVZcstE4+hYd+YdzxMxNJGpO3uBmJ6QUn
mNV1aHkJPOXUXXWOe+kby6lvh2Mrxyc/mB47ZwBbQh3zulqcec1hBD8kcyVlX9a4FSQ8V5GbNSBL
KR1tagzknVrqlrUroFSy6EVPZUWqg9M0ac/sxHJWRpQd71LL+IJYX0YwY7nqmGvV2rgcbDbIkdNm
rMuG5AbKOdczJtorKoAlahvLhE7CVQmm0r0GDj+R+mfOTdRmevxeUsshKFiNODXxRDHcDRN9HEGx
TGDn/LzfDFNQP5fS9E9mPtDn1MB8w9PfvVIpNO4FrWVhXo3pHgiIt3VEDfqzoRpKN0CMpEJPL+pl
ATmHOrbJRYA0r9Frj3fU3hTSv9DrlL6WPBkO0s7TTTDAV0UJlyoC5d3IIphPnDmZYvCeroHAYvU0
GDpaoG+hawNfmFveydjChkIyV6cUifylXmNISXGPPkiaasIowUWg+9dLa8LZ4QcKjJ1mx5yl4QtR
z6Gjmdi2+MI3Hs5lBAi7OLHCJKLJ2ba67VFcRmKuWS+2mlZfWdV4lrWdhr6nXXoivdZLBsg8P2ta
vm5jua5N7Zau4U+wS0Pk3QEQ2TqsPkpURn32Tnozv8b69GZMMIAqtdm1RX5lzctRbwLtFs7GYxZE
F4Qw93PavYOm/aRm4FSVxrVnRbeddHZVY+xlTuTAYHHcDv7B1Lk2oxoHaoF5hI09UMzJe0REv+D5
if/OXcHS3Np+BWOz9y/END4T8D8FtniwqEUIPSRmjtQ3uIujtQd/bz0L87BUC2jDhW+PTW1QC/Ar
Wq6EkV1GiPOtT4lRusbaivFZ1SoXc1lvKf98iHgQUCyF/tCXL7Wfvpm949FgIM+1VwDw6OsHjNXX
sk8ucdgO73GR7sasDkIaq08N3uZ1IKOV0xnspodbyCD7JIteKrh+RnSdR/Dv1K3U1LIDIKIDIXs8
rJT4pV6w74KR0q5pmwx3mYOnujO3U0W+InV3mePSyTOxV54Kf1v2pAOT0mlU40qw0q38bvCLO78X
3D+W6EGIuMX+E18ulRvq8FoQd0In1c+m7K6F6IlZFqHIAOcm0PRQl5wQzj2+N6LqSXnbwWwJ+9i4
YtVLp20/fwZLneADW2hsxhNNhqzj+YdGGGj9B1C0jxJwEyQd+6sX/tPsOOWRtvH3nkvjXivsu9n9
yggZi7J9Y520bf3pMWZD2jTRMxoIvVpgRvpr9t8xq8X4fpnre6ek1AQu5WFc6MTNlv460oqF73Hh
0KpOnYqcyc5rXvouoAvj1stpCsd3xa4k3nKG/iFrZqdY24wBZexAmr6oqrog5XUBJBMMredcQ4Q4
IRZAuG/w32CVXjnR/DT12ifZr02QLg+9U2Fnl0cx8uXktoEyXYb5ol37rD4ppnxxKzPCW4ASS60a
v3jw4ro7G/wQRc67eFBN6pG9okP22eI/Y8Aab/veuS9adh0YKO+SYIYvqg+U0vjHBUxWWA3JPqez
APvBxsNXmhn5Lm77S7xlr8lo3hVt+qWNwF1EpG97XPyrufbuKTIIUbOqkOIy1mmBOAokYR/2qw2e
K0eEX+JQZ5lWpuO+MZt3ubCgt3XKbFwfxEDUfPi0rsRygwflI/fm05wfEs/cBakf0YrutltPv9em
rthwukG1iKeLrLfXde9xT4sfteaOVNCe2NiGQo4M69BEplxzsWpXz3Rcb2GebYxo4Pbo34lAhDyN
3mh6eE69iS3k0S7vVD2cuQQbLVt01Mid2dgcuNmtf3hZchJY1KFMLyzVnLnYTT5BHJnbqns+ix8r
a7pOrA5SXAsCIa7FNTrde6vN6cZvF5C7pInwOcTvZjRcqx6JxXX2bRz4VFgjvhTtjjasLRqNHXpO
PZ+CkhubbtTXTquPO7scKVwozRvR8V3wew02VXDMQArjlrz0a5C8ek4bcqI/aJ1332tNupui2V5R
Y+eftNZuQjeqmzB3PNoy/PvMzhgPbL3DkxBbK2QULbQCQ1vH1bSv2kCp7uT0MklVBRi3kZCvjVZ+
wxJk3MDHvk80Z58s1QVPzuO0EBXtlHri51Z1KTX4HC2Zna3pdZ89vjmukcU4WnNBhYmbfzkeBKkM
AFg+Ag6Bh/uaGekl9c9yrU0NHQjOXQemOAS/sWYHA2Otlj25Wt85N3N7UQv7KULUKnztC+nqaAsO
2LjqHdDeC+1wdJX+yHN+esaiXoXIdf4FY0Zq6vQCUplkG3jnYBjcltb8hf9OPGDGpVfJa3s428k5
N3J9zUrxmUKnQ1v15o7C0ozsse9uzZm3ObPcfVbNzSaO0zMOyJe4jb7IuhWhhHTOIjP9mBOt2PoL
v40nwQj0PK5bxSCzKwJpPuUmYAz0ZDM3bvQ6UC3DuWZeWMgRWLuhOXZefY85idIDAdUymGZKJSRa
2a4LD9uzpXg+y7ea+D1SVRqg86jh+6d5bX2VL4t5Uyspkm/7x/QtTg6Dv0uUYAm9o9u4Q+tuKG0e
duWAt2tS6mbZCu+cuSieUzYOO1+poEMMhSKsLAvNX9nw2PZkp7QAsuXiiT0Qx5IPidJUecxR1BPN
HTC3b721SDDuhFFuBXetUmX7b4F2UVqth2hLHykJSaD4BFvQ9EtPrJwaMYpz0EtRBNcC2Vc0HRAc
L2OCzGobajYmF05aZDl89k30QGJOnw1xUdtBHy6Twb4qMvKbBvzjKm0TVOXZOYoJ6FDnthMCAykg
YE9yOzvZVksQsmqK70OsA+k2zrOe+qCsvkVsCd7qTN1YbCVfW4ukbL0nrU9tF/B8reoPWI6XnU6E
dkctcEt3PNx2W8nhdqmLEyW5n+wB2zBPfefkTukHWGlW6qnMTtnQyEdSOS91os+c65HZ//ir3X9U
/n5D4kByWxwv5Ln38BbdzR9/telXyojfsQPgKMjvD6eP45jP5JiVPHeiiTfdKmEn/vsbsUtuWKIT
X/3Pm6zfrbvuRclf//SP/MMX+h8YPDENtZH6x+uwa8rr3tP69UOoddh/dv3AMqz7bXTlz6/wyybM
/pPDsE60AywtOXeCJn/dhHkwa2kDYRNGhJr8t/M7aO13LN0nWW1/77t+uwnzMZPx37nMHCRa/i1o
rfe3lRZqB2YS3KWWREVPflqFibrkFtVQ+5QWUbdfxmVaWZm+S9H5LxpN9/Ym7rB1TRBmxd0J02Nd
aGvKwoyVqXfxF7aC5lB6y3iclIrb6IhipVOwSVEaL+dNWKyAM0J6FPyVFtfpHsHPPdDoqqRbHqnI
FM2FCSnrvpdUWJQFDVqCy6yh1sCdvQLnhJKY9dHCQJXhwPWg+4ftSFdmUMP4rAl2nW3XtXaah/Dt
i+DdFqMexn4qeUphFcyopBjK+tFRwvZgQtTzldit0OBQ1RHARYaFbjZbJvD5uinLa5dnqjGrF4/x
+JK5blZ6EtFFpiR09gFoqK57iwbEgloJ7ZaS3JO5bU8eILZLvGPL5WBmYuf3sXtXK5neVLfQIiPe
OlUGPWZKyW+Vpp8pdd+UWTCvkAnLtat3l9LwcNvBPnipGMEPrAUTJuKugU2KZ2DBchZy3mawxoTw
g+Loh7n1Qe0qp4HA/wu0lbtPNuGrgV9r2e2zr/Kc8tujUCm7gs4dY1WNnYvr0lhD5Zao50a/TpTP
ocLwMCnng608EN404IYo+BVirYppsSKzjVo9rWSNdWIW+HJ6yeOUGbdf8wTBct662B6JeeCx87s3
aCTmhjSJvdJ73BlGr1FeF/jmRwBMHrRENJCDETycuqUn8Flz3FVWD0Cozl4krD9hjvRH2HjG2nXQ
y9OUv+U+Daejso7oQe/vANrgJ8HhZNFCh3lUEXuOKYC/0J0w0S09HcbajCBYKH9KGo/tqVeeFb4C
VMAKclBu3P4QeTKdC4s5tEnN5jDDtzsPY+xtTezla/JEHGThmGxaZYkZa9M6pmBYTrgdX9tEPoiC
Ys8yjq0T9+glRNoF5DAnw6M/2Nk6dwWlWZ4y4GhGlq7rhUqPSdlzXIPLasY5d0XDhIlDlLClbqbs
xWah77tSvC/K8ZPKIT15ygUUYwfKlS8I7DBmR4tjdKtcQ5byD+WSTgR/MMebQJ0wzFjCHprUuaMT
Luo5AaW9mPVp3anzScyGkXoqzizQzoAdcooZOM7E8Aj3BakoTjgsdaw4eNG05MxDqOG07O/LAnXM
UAckejzzjTXp5g7vHJ1m4llPyGF0XXYuF94/vpPYFNShq5yML5aMt5Y6jmmj/gX+Z2GxxVGtjR39
Aq5ijw8COl+ujnTx6BV7UHDOhU2rImTI9khU68vssfbr7hOsxgs4bu6ZKlD4+40F5Fgz4rsev/Ha
I62HbWZcDyYT46IKCYqohFRM3koJw/2PLrbLDUU9tAVSNH2Tyt5fkwIzuU+5zoNJI8NUODPYBJea
Vl1Oh4o2cGS6ytu7cF93bV1a0CBc64i7hS711HhsIUIeprq1eBzXMQ2BFA70bn2DccPdcwt8shuK
VBDDQxzubPPoJ0GFTTZeEzMxG5+wiczrFgvepYjrO0da42OSZD6vHZdhGefQwpqJYEgA9NJpuSXl
Sc7MXPMl78xBnGa8V6uhZ7kq62RTTQbXH/Ri+IuqyIIHEf/kxbfZMPQbS6euUMu7iHkH57AxJrAZ
E9O4x5jEPszszXBMOVgg4Pob6S7Nlu+C3GoptTitUxsZiJrkNSuTmSIM5p+uknKV9Qh6WVu+op2a
oZvxwuyTrJXrKPs7pOc2N72jlghANYKm3amsox2sC7lhx3U9tiXhPdMw0ELMa7vpdmAv39Kua/dT
Z4AJiMSxhd26w2Dzo8ITtC6c/pr5U4P9OE0SNxAdCV6g8TPE/bUB8ILC0ZzcXF/kexiFbUhBLHXx
dfI8xyxb3E4ZV7uam2+OWbj2t+rWCzLu5Og4/yNQ2gg0BJP0DtTS5NJXqFszlyHfKzPQ96zznrsl
dcJcGOIQR9yyKl/sPRP017KwYDQDdPbGgNxgRml+Y4Ezz+zhnLa9HgK9fuuCgTkxKy6WuLlq43HX
ltlmWpzP1sRrCMz3lGOYiBcc64Y0ynU8m3zTIDmFIH+f+hxAjlGXVyOmaHeqHkcv2pM0PMHauRCW
+c4A96qOyK5v37FqvokzthMOyeQUh5eirwEVqEmg2NayjqwetTtPH9nzamEblBXyk88TirkNoKIM
64YjfGCMV4uefsiudDfSnqlKcJaBFQado97cWFg++RroRU4Oe0ajondj3pAdZxVbzS/soOjn9PkK
T+rbF/eTuapTf5u3xClyGDdOsdBjn7PB585vJfr7RHEGm0emuloWX2UOIKDJxynsIp+6FkVmo+kR
V4B9gb+YFsKCT6zCD5IVznUGjg6fr7h22L+t8sWlhBQ3Rj0vj9/f8ciBOdt6PLZZra0Siic8nsmr
fkRemMz+hrbJlyTDG5Xb/qtWBrdzWXy1pcHbPNy2HT9TIhYY06KoyEIUlGPXWvv98mwRfpiWXLnY
G9cQ27jJDvaWA91en0YufofbXOl3Jb47nR6bgfSSZgJ3IxAf0+TaXlh8RTFtZF+VX25IjDT7qnbm
Zy4lWEhB9uVjoVqVWs0iIMeGMvUWkO+GDE3Uc9ACd0dxBT7aue4FwhWgNbj77MAj9npRO1wFTvHg
iboBCGpZB4xeFEtm3MNaj1yY2fOuDrZ79f3StWFGdza0VehBureKMu4LhldpYTJo/i52Bn9Nc+lr
ovNq+iDF4ftjFwpJYXXzRBhlAMYWaFhuy+KOh3BYNEyXiT7c5jluLbs2Hgk8G2oPPq/hUpRsixwT
ExPrioxwEb0JfB5jiqWj7ur3IQPHVpaf1cLtr6QeC3VW0hDnj5Jul1jJMJLrHTyv5iyvtCtAEdAn
PqWJedEd2EAi3GAgpwcricAbaHHOWnzIvjKThB+syorSonSbtjGY45KVhN5EO06NOhsN7m1YEtKd
AOS/shLEgqGpccY2xpXdGeb7FJsQYgefpscgJRwA07DuaRloiVCaePj9gQqGSOcTokT2wVXfAj7V
AsYcNeZGj+RIrUV5CYrs2rciirkqanKyZPzRlw1e+YKcRle7bMtn09x6JGaOLRCNVTBrsLh1dWPW
oyLdjF4utkQKJAcOUtwm9MibukVyKiWUacKkPgtNurQijd5m+LWPjiI+lpoSP5zqWUheszJICHgj
lspC2qiDlGiHnjk5IbeE5tgsi3WbMzWsFhl8kAz1uOEiC9UNZ8eJ7fvIGj2UC6efsjLP5kiqvcZF
STcBPpgmxlsSw6FYp71l3NKzx8edqvQtEtiul0lMdVFkrBYsUKdINFoIIVbZbpuS/SvPJJQenL3m
2DKewIPddX4Lu47+JLrdWqI1oy3PDPn4JHvqpL2SMV5Y5bhfGqykBeGOXUmaeMuMFYRpWz7DftK3
GNF5PDmBPGexc+/q6YlfC4s5Z9hZ5s3RX1hHlOooM6VUf1L0m+x7LJgXBmzBFw7qBu/jjN3cWTDC
sCbqD05QpNt+TD4IBaEdV7PJO8SBaVRWVT+d73gu9/8HQ/v/zTj+u7n+/yMbi2WDVvqnQ/vrf/9X
94fH1+5d/OF//WEzdPnrR/rbmf2XV/iVFWG6ihURMLAHVMSAa/iFFWH9yXbonlHtmTT3GYaal3+F
RTDhByagF9OG02WBP/jVvgJyxSO5AtXH/LeH9p+D+AzsrqfbBlySwDTdn7gyLrYybSkMyvXgQia4
zT0eVi6yOfWBzGV2ffjNe/V33B5/C6dwXWifnsW6wrawy/zerzLldQGMiwBKVdb1XmTilsjKozUm
/r+giLFy+JtfzeOMYvB54sX3zW+I0G+sMXapMUtEAcfcCYmhi888thomwPlHlnBTLixkCHpTLhud
+/GUWdVLldZ7gHE8ejJ0MPrcNxC+u0OFEWY1d8ODV716eblupWae4qp5I6DWHgdgz7uuBCSTyNpb
w2ulWxhxOhQatz53ydxdPhJw5dCnPYHXDK5jJs2OjJ89c5PtRLFceilPnWkebhrVoSY1Ehv14APF
XRKxkYtRbGk0i58sMxVHc5KbKS4J+qtGNlXN5rdGeqK1QrxVHcVtcvC622lkp9468xfdVSjCui3v
EOAvNcv/pE0UeVyVwS20wrWqHo5obbUWJgg0x1n8jWghWnj0yflWRlGlBouWNm8d/LOcaK0u8veR
1fsa2NAz/ucbQfZkByoAzaSLDjX1ddCJahjMHgf22eiuOtVyZ5N6s+bu3JjRDwC6/Wp08A2WtGT2
ePkA8trGZTC712lXPPhwajdUhGe3rirWk56lnWKid1vhaI9DY7XKuxKobQquao1yPnq22O7Q1xdr
FPdxW6wgpOuv2XepH2//2VdieexSeCazenpMVA1gpgoBLVUNmEKp3tI5Km8FvYFyGsWuGwuI0JpW
3nFCxJuvi2iTAXaigxxlg1I2lbvVX/3FME6mqigkqB+HsoPcHLuMr41aVOuYPNRZkmc7BPSnnsbD
lEDqjUvTZEjbtbOfWtc6TZiiiGGSTF6Z9CYa9CfiQ/fDSVUqloTsN6aqWTRhWK5Ml2WaUCWMozT4
fqliRk/FnjpV1ugSZz5acVRvmtrdFUwgK2ijFQNs0LFh6Lf0F9aHZfC7l5m+7TWcN1oPm2bcF9iM
T2XbnVovoNl9bDjqNJwd0H/6NxXHX7tYJzfaPATr0sZe1I8GvUtOc5dFiDO4ZA5GWz9pCjxhMY2s
hVZUrPCTuzFWI0hD+NSYmMssEnSrRveu5OIid4MEzqXLlDO/+NNymbr+DSuzzaiTghuKd72W7yT1
H/uo+WFxigmq6Ifo5aHvsyPv9X6hGo+L173VW8X8sie+Ge6CWz+/7LL0FW4MpzWzdh48n98+mePD
0GF/GME02z3G2Mxw7y29Epu8VtNig1+OtxwbRrlIzlnmq6+nN/CHn4gyRiHAwYu89h4sqlr7BLVW
yt2UTDt6uhJwC27ASaYEC2IP07uyt9iFsChGWd6Lkkq6rCLSTjQPLtsm5vgZOW9V3r/nMyaF/83e
mTTHbWRb+L/0usHAmAAW/RY1sgaWihQncYMgKQrzPOPXvy+LtCzJQ9utiH5cPHhjh6ySKpmJzLz3
nO8E+SI20ucJDEJjRNukkXqo6VZtu+s+7K+gSNz7epQtayN6xMD32BT92uc+NKeXeaxE/uLb9jrW
veNod8/Iq+dRkSW7DH79zNRIXiitDsUDB5r5kI23sRGubSu5N7lkAlS9R0f+Kc7SF6tOm5nmjmu/
Dp9U74sQHtG9ZezS/O5WCPKj8xxiCwx1fqQmo7nAZYTXMjVfUvp7M2wq284kV9yhkOKaxbXaAj+g
rLEBo4wmL83vowpqvaLsCle5Fp12zHzaHyq4XSgU9l7BWc3WYEACp0CIrAeSjZ32GAmVu6pvrzIE
KWDG2udp4vBN2tl9Ls/j+IqrmTGZ5woeezov3KZ8mwRBrprA+NNpFZOBi96nPASIpZoILZEGZrvH
tlYZifQhY/egc+YJIk3NMD7G8bDTSrPbsg63FOXmIoX2YGTjsXNr6sYhmYstJMgqNVeZt3IgZlec
Q7FcrUl8uW7LCNM7X6wYw0PRRAstmS7lNLZc+0rtCNjo5IZhBXJkgxojr3pgs9pk7Xg+ggND61bS
tlQxO/TaVYcECONafLSdhlqDqUFjVdQLKdoBirMHar7lhP1QCGoLOEsSYGzIIdy6REKejRtbQxuQ
cLGcaxo2VaOwH8IqWevjoPL6YCsuEt5GXmLm68j1v/Ra9Jj7yvWYIudo6xUNro+hzoc6w87Bl0lG
V8I9EALlUPe3XoAUm4A06lnOodcKbQlfGPNkbKzq8D6px48hqsgZ++ihxKw9V4xEn2eq8uJPlP1V
8Pa6I5UYLuV7Ve/hOewjMNxzUZvnpp3w4oNbm/v4JS3/49SAdNIaykqllC/i+D4ntXOrVMgDmPdM
IbMqJH+bGJUSVEnPTYw+6KFVpiN18DVBT/me5iVjDfV8ACEZN1uwgI8UeA5TWd07NEEbfRdpzjpP
y/MuVjCvdguHOuxpWYfa1dSWV0PInXFKso8RNcwi9C4FSRWqb6PTszZdhHG/ZRq7unpPT/Zcs5P7
qEBpUXjNtRWo+ETa/HMFL5GUmexLFwh0FlN49BXFXA1O9iLc6oseOOuiVWFXhy335HYB6egegxuF
iKnddV7wQgD8Y2xuYN1pvO6ce5nTQe+6Oifq9Kh05iE01WKH+zLlYFIvXG1aV2XGdSfKwBnivHIx
n0HwkJFod36d7rVU+TC4YHYt3CtNMrN1GzRMWB9pvMCLZr46GvSiJkzZ3Ohw42CMqaNgHWyfAwTQ
m8EimUMMt7hURmQhlbYaXFRnds/5ynQ8/mu6duJ25drNVRyKQ6kOz/grEe54nxRzF6vQctItIgf1
Q5mq2jNpE8SEYvWeOco21YIvZq4eO5juQeYcmugOwDzqPqpZaYMgRbeqG78iapzao3oTuwmVY+DB
815E6qInbw0Hi5edg+UEzCA1bK1UsyVS16ZIhRtwNsrhygQutJ/sS858FBOlJs7Hc4tbwGw2mlTM
BdTEqig0l3DPyhXYqWJuUqVdcpf11kKU4T4OeWumxGwvhdTkwTGwV2S9hed4ATmERHTjJ6nis6Se
T5PKvkRq/IDgF59gbZLjI7Ln3uUajnc/utBp6h3HOAtXFSnAfDDa39RMP3g6uemZJaan0vYQmkHm
2IvEYcd32nIdNWiBFb+G91NzSzROPnoRjygI0+J4aofzJ1DcdQljSkJNB0FCD1o1qYeprNSLGtMW
WCnRS5sPtiZdiTUamoh+OyfDdkTRbw3EQJl7mXsMKvOliQEc9SqHV8yr054f3H7sJjaL/CRG9mDu
RJIKoBbFBNtIue2RC9AIbAmm1WjtGT0sLAP5iu3n552iR58yoyrnDhm5cw1W/AfCKclvSlVnZ1Uj
ebHc2G3JI9AkmWCQjAJQEphYad6nEajAyLNv8DGrl/ijsRgD9URcNDZXfWbEQEUon7iSdiAmRqob
em0TSQwCm2jJaksedd+w1j26nO0YkAgV1oa+T8F474XkKITo4pY+BsePvR+Za9JntceRTFtQxAFS
IAlhaCSOofOlYHcic3yptg6kBslsIDoPtL5DCl4b3uDSCxZtNI0rNQXkEknIA4mE3qKu0LGnicUU
alhHva0RUum53ZZT+cpr8Po0kvUTpOdTbBzSFh9krqYNy1zn1NXr0yey7DAVp1RwYG1FHOimbhPV
EjrRspU8TS4Ns65OLKkJ15b2REYKWUgQyjzrwQ1Q3qVt2c5xOOxMPbIuJpPvN+Db4pzrXDuScIFZ
KpilwrwK7HDfeOOwKyQMo5VYDGuwDdqANDuLOnUvSfolYFzzggOL5EopLP7Y3hZgW+h4GrWTLasq
sLfwTKZ9VrCTRKrcknPKRjZCvxkRqDtu2s1MBz2zbiL5/YF/zRQR1FA7TEgTIUoNK7MFYr5+WpmK
fxP70XNFqiiNRe2OY85mUNyHYRw++lE9rlUfhpffa/kupt68ENwld/RRcGvrtUMZdmRAAHKHGxKn
SQozayBCEdlfqIt145Jb5MpE9731kArS1RXqSjq1hkrxltgbCboSwx1WyAsTLPlC64ti1alTtPJs
Cw4+oSsbIMAf6bxk66ie8pXaGzf//BVs6EnyXgXvYZv16RdMnfe2pPMVktOntQhg3ayf7hvVH9el
hPpFgf4SD+MN5GcbcaL/OcpswH9lR/2qzbq5WfTGUu269Dyld7VIqyk99wX6FFxo40wEfn0ZnciC
DdfqcywZWN3pE+7xiHAvAfYyS4vKmodWrS8hjJOBk1At5d6DAoko+ytqH/rMtLr2UyHZhqnIpot+
cDeAIeYl3YH7zuN4rNcVQtsTGrEV6iNXVKqYjsMhoif+h8UxV5IcP7XkKYqR5hkWg4s28M25IpTu
Ymhoh/o2uuxwwh1NWeMBXrq3qttwWzulmA0G19zQHt1jabEGp5ZsISLJsK8AywlQLS4NCYB01Iij
FDnltO3BQ3rJ9LnubSzbZYw6H7drAjScnhuHfL4kCmSKyecZ+XqzNIzS1T9/Nd600hIjUqQApbTJ
EDjBPuW1SNuVl1xaaegH9guVVt+qjhRr2au4goAvhZRYsOEE0pDjp2jM7ZH4NTevzUVvDo8dnfpl
j7d6FUlTj6Cpf/h/Wc7LiSr7b3mwxDR8U7aSxNk3kqw02/3rH8uhqV7Sx89t9YM17fT7vqpxAAVp
JuoCXTeo40lC6VcILJ5xClI8CGE0WxYUfynsqWcmXHAV2bJJd1GVMQdvhT3DPnOlcgY0vy0jqSHz
/8LEfSusYfSjrOq/5L9TaBM/QLItOm98kopBzQDyBlOJv9+31jAyp4xKcyGApxiz73nL1jMSu6KL
oY3AGORlccyDnD5RTdnyqsauBnXhrrQGvB8ErYKBS3zILtC4uMk12cepJvbXcrtm5w9NsOaybmxC
SGaHom4xyIKYO4JXPgbcvdo8zS77XsXw0FlWTj4joCjOUgT0qkH7gVjjJ98bAxl12h5FbmgLXQ3M
RYd3audFNSAkCIk7mqr+1kHXctXqQbt32wBQvMLHFdlNVBJOppYc0WwwxMvS7el+kO25sFBfb4VD
oulAdaQp+bC2QFYTd2A71Sh7JDar2sOGH7YmsWsWWW57B5reHogDFmA7FuWsatlpZ2lbYbgZ2eyS
TkFEenLOpepoXYw5taAch/x5VWIJCkU8HdQE8wP0un5RssteKpZLQHwvb2gcJue6TVgniXLDPjGm
ue6pXxqs8Hi+SOJ4GtVq+uLbrSAXVxefSdcBhejzkg3MvsIHQCwxoRuAPyovuq7ZYxcWf+y5H5u0
vCedZEody1Sp+1tNhwoZRmR0+gkIfAo09Orc8HM6OndUm7055p49iCRi+QKlR1fcAPAMY2vnQUpZ
a8a4b104H6asX1VGSbMDJYhpK+2usbTwUnh6swBWZXAioItmDyTNFtyCwck67YVPsukKZHJHACwH
LApHORdlNXuy82nYUqsgNE6p4quCEtQcjUu0jSOaM01oggewO+qYkB0YkkmABo8gnR1hFl2ZGhGz
s7ormoccxxk3gao+qjBfLgjY7G55v6qcjqAF9DZcTDVysBLnU0ZonE84NT43pXOXbhR4QA1ccgVg
LKZzf4RihKQzHHYD16hFCDuGIpB9HKklo46KKT3EyXNKWZkyFtcpfdDrGx32EqdOjEMt1VAOelZb
UH4wskPnSjloEmu3Q8WtSNdFj1pY1ko7UF4Fpsl5MVjaujUrccnCK5YCgNqLYZjBwu2C+MFgs+RC
6kMWbftsF+Q6oodG5wcdttBZlXrVeFO/J6OtoNQWJMYnTm72XZjDT5yXUIsvRhd/k+PExUVS0Kqt
EYLlNHKXCkSq21it7v0siHfkVdp4NAp/jRZnalYhCA48bZ7ZbXRFC/fh6GSrqsEb5tlmD0oWwpY8
mqnnZavKLCxUXhmsRScyBaJv3m7zfmioIUH0O7ZWqKwIJQ8fpgbtEXlXxh2AvXw+8C+OxZTVDMVd
kAcKXanwiRxDGbzCW3MgzBunjGPZpbIULhdNqdq6bZSmwyFDBhm8VT9+Rjn8ZBXktFGGg6yBtCRq
KScqVnVItBFda9n1q9ax+nlkVeGqtUaOrkV/P0Rcqaquug2TiPeFDpHCK1FLzlVyxDa9+tCAznqg
Q2xvJlA/E5wOz99UWpUfSsjQT2pkOddx2zntTAE9Qe4RLjhynX0ArFayBFoBs8WYVv4YI7vCT7Ip
jTpoZyLtkjuCik69yxH+rIhnQd7pj20zlcY8qvrhg47yggSo0PjQxygfgHtOK34f7iWjpnSVVTCu
0jJq8BhijYfoTxS6dMvXURfdl+GIGBDi3YcOb8pDRpfywyit9qXapReTtN+7PSpgBX/LeTMo5ac6
AM/kwBm4wa2Cv1Ca+Htak3eQuPzn4eTzr6Tl35Tm/7yo69XoAwSgRhM/EFsazmOJC7AlOABYBAyB
voiihxrry1MrEQO6R+3mpLQLBcB8cWIR1Aa21zpsawKuR95UvPpuQBXQ4o/rZGO2o34JZC2gkcHp
GY/plqM5qNwTA8E54RAkGKGUiAQceNmFJbEJxomgMMBSwIcYEZjpQgtq6okaHjcdxYouLGYA1Gxw
DOGJzCAGykpAr3e1pDZIfIPnF/1BOBb3edAOfdLedhL24LxyHyQCIm4lDYKN3LrN0BPOGjBW51Fg
Es/cuRZANdW+CgYdq3csSckSNJFVTkKOIxxCzoMO9x8MJ51w0oVp9J99AJgHAa1kjvXvRQhNvwgb
oR3LMRT4jiH9raYK5AW2WmcOSBInDZCQYd3ESnfjSkxGacbKomFt7XtSzGB6G+beqABr+A6IjVHC
NlrEpPDsgEOFoWgeVAnliHrX3foS1AHtCi1RI/EdlL/G5SCRHrof5iujImeP8gu7gmE5xW0ABWwO
sii47PSs/3TKCoR8LTNzVAeMVEtgYKsMnwp3PCYcMra0FSLEXthtlEoftio36Zgr6YSo1KmegkE1
X+MDU/zs1BJNl/YHqwpRAthaIsVPEYJl5E+kUcYx+/LXGEG/IljPlF0yVPXaDY5ncNauOwWLRvka
KBiVinLdIk1RshEvNd+b0l1pV2CeKyQRX+MFNcWJ0FZF5ZNBiGqFMsu7xhAOXwXo0/q3QYMEPoRo
kcLS1uanoEEbmhmVG06HGAiJrFNnnm3rc7suGnp0FEy6Qt6JhEwexKv82IGrJbXZ7/9O/OAURvkN
RC6mVA3R8vwPgwhDdrpl7xXGDnXFusXad+uNBVS7r4mEhJuCf58qTGtdlFcHHeELaqjxayyhnyWX
/tdYQk0E2YcCbBt8qKmZCBF5yyZE0UWaB2WCc01mE5ZWjItpCteBruj3gg2rnQ81WHO9EO3xNaQQ
/rX43BjoYppTUKE6cByY2x7OxF/TCiPbcPw1AelFjU09e/mjyELbqON1MzVLuFwsoFLavn5ILUzU
qMzw3prot1ALKwBNFPveC7O9IfHbfYdFNaxwbxZ2SSlViz94SXxzCjIUStHOaf/Wi8IRKZhCxMDf
pxki6CmXRuwizY2SI8KodO7qtChUsEDMAT8yFrXlTC8k4/lHDLzlhj+8p8ybV59ECUN3FqgxF1c0
TVGr+zeK4oSHHL8RAFte9ErU2fa8NCv3Lm4jsYxtS8vnbMHKVWZ2+a4mG5lTi949RrY3fKmUlKBK
3U8XUexZqykJnYU9JrQy+ERMLH00LQdEjAtCwDzgjlZ+0eV0qAm08TemrnZfsKks9YL91eubp1LR
OZy0ElaUjgnlArzKM20MCsxQsfic6tQ+EDoLJE3iWe9s9ZUD8V/jpvyE/+Pt7/i7ySNf71zyV085
GNckUf2QXfKX/qdfLm+//0F/Lcrk99Qpp7/UKUjlzz4jgUfatJ+53ZrGmWoaGqIIgpnkw+0Uoj9C
otMvK/qZ0GxurvQnXh/STfCwfDNIfzQMf/4Nfxvz8tvP+bNv8Hq333z+1z84d2vcZr8z1vztUeBr
CkdFSWO9fkvEN9+OgnYmTEEaIWSXt+f9jYIhkNf81CgYzhnhNqqQcpzT88Nc0KhWIEPSgOW8Pq91
k3c0F1zyd0gS+clxMPUzkmzwQsmcq2+ngX5G/YYqDuqtdzoAsI9k6emnpgFfH4YQmjKbtf7t16ck
hUDN0Dk+vz5glN7Xu0AjBe5nv73GD9nVCcx7m+U/DIJ6hoGOiCECM9+e1/F+R6tAYxULU5YAf2oe
GO6Z5ZAha+IE/G4esGVwmUciyGx4fd7bPDA1W6K3furrmwR7ufxjiFPtFuTYd6PANNEdSqquRIrJ
5929DN+mAe+wnxsHmGuMgqGyA54eitTfvhXMM9VAUYkN720yvLu3AspY2xY/Ox9YDkKjCicY19Pz
/XzQz1wLx8uva+J1+b2r18JvOx1/96DEINDMM3Sh0bWQz/eDoIgzjRwiFIpva0ZmT7+vLcIwbf31
DPvaPfl6AP8bh2ZGgXqmbnNqfpvz3y8J9cySZ2ok2W+/7L46v9/RZPgdN/rfnQtcHXRXN2Atvq2I
H3ZK64zDAj2srxvlu3xDOgQo/+wbkjaea1omh6/Xn/cPx0bjjFRUTQjO1q/P6/x7R7PhdaswXmfp
f74u5JaJr4bl//b88HYwz6RRAQLnLwPx/o5OCFx/cjbQuTWFQRlFvN2imF7f75f8EuOD8Oz1+b9a
Fs8IPcBuX71Qzv0u4pQ2xF8bgx8+4ZuqgipfkLwBfzkT/GZFWLwhqWj/B2PwF5bNGwP3OXl5rP7n
fwEAAP//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58E099DA-89F2-AA4F-9013-DDC5C219A3E5}">
          <cx:tx>
            <cx:txData>
              <cx:f>_xlchart.v5.2</cx:f>
              <cx:v>Frfail25</cx:v>
            </cx:txData>
          </cx:tx>
          <cx:dataLabels pos="ctr">
            <cx:visibility seriesName="0" categoryName="0" value="1"/>
          </cx:dataLabels>
          <cx:dataId val="0"/>
          <cx:layoutPr>
            <cx:geography viewedRegionType="dataOnly" cultureLanguage="es-ES" cultureRegion="ES" attribution="Con tecnología de Bing">
              <cx:geoCache provider="{E9337A44-BEBE-4D9F-B70C-5C5E7DAFC167}">
                <cx:binary>7HzZct24suWvOOq5qcJEDCdu3YgDck/akqzB8wtjW5JJEJxBcPqn+9DRn3B+rFO27JJl2ccVXdFx
HXF3VcmlzSmBBDLXWpn0f1xP/7gubg/ds6ksKveP6+mP37K+b/7x++/uOrstD+6oNNdd7eoP/dF1
Xf5ef/hgrm9/v+kOo6nS3wnC7Pfr7ND1t9Nv//kfcLf0tj6prw+9qasLf9vNl7fOF737wbEnDz07
3JSmio3rO3Pd4z9+Ozk8uzR1fvjt2W3Vm35+MTe3f/z21Vm/Pfv98b2+ee6zAkzr/Q1cy8gREUxS
yuVvz4q6Su+/D8hRiAWiSIXo0wd/fujZoYQLf8aUj4Ycbm66W+dgLB//fHjlV4Y/PHBd+6q/m7YU
ZvCP31auOfzrf8OojaujT4ei+s761dXH4f7+9ZT/5388+gIm4NE3D7zyeLb+3aFvnHJ++Nd/uWev
Du66/jxFf4Nf6BFiFCNCQvXx8417OLgHUUXu3UM+P/uTex4Y9ez3Zyvv7OHGfD7lKfOe9tV3bvPI
cd8565fy4tlhOHTd37uzOJdIYHG/g+jXGwwfccYVYQh/crBSn93zyYNRXfrK3Bxunq3r7lA8u7l9
9hM2Pu3GH93rkS9/dOp/a4d+z7iHkfKrc/5qpERHVCGM+Gd/PdqR9CgMGeUc46cD5pcg9n2Dnnbe
lwu/sv6/e1T8cx3Bwj093HTm5vP6fir8/MWshY6YYiHDmD8ZHemRwBxzjr4THf+icU/75cmbfHc3
PZiFX8qPq6nvAALd+L8zNlJ1hBWmhGP2BVw8BB/8CIdIqjv88ekDsfPTtvkUG3/SqKf99tXFj/z1
1bFfyk/RwfWmKA7P5mcnt//6P9XnCfsbNhs+EiEm4I37DyDBh85iR0JKjtAXKMI+P/s+kf0Fy572
2Ldje+S2b0/4tXz3JdW/OhS31bU5VH8jEIHNBomLCMCS90jja/+hI8hbkNfUfSxVSjxy4BPmAaj8
FP/6Qw/Y92es/o5v/8rNH7v9r1z7S62IzaEwsAw+++Fv2MQENjEXQgogCg93rzhSSClKML1fHPzz
Qz/t3ntLwN93/7f80KSnPfztHR658dsTfilfRYf+UPiP/PQhtPtqkH8Va0LIVfAP5fcJ8OuQi49C
IkPg5hB1P37g8MP0+FMWPe2sB5d+NYA/fntw5Jdyzz+7Q/p358MQKyIUk59m/9GOQkccODsTSt17
Bz1KiD9h0dPO+XLhI9d8+f6XcoyGrHEAaejz2v1/D3KQ6TimlPEHFOxBrCNHKuSS3cW7L4nw4bbZ
ueLgnv2MWU+75/H1j7z0+PAv5azoUPWH993fmpIokABBKQIZ5OMHYMcDbwXsCFEiCSKfCfejzPRP
39dVXf7rvw532shPGfi03757o0cO/O55v5Qn/+l6D378G7cdo0dEEYqkvN93jwJieAQAgyoAofef
R+nqvDOAeZvDTX3nyJ+x72k/fu8+j9z4vdN+KS9+YTygw58eKqg+/K1hNJRIMYZgxz3ckaBJIyYY
/jOCfn7o10wv+Cmjnnbi54E9vMcjBz51yi/lvFPf/a3gnkpwDEGcCvYpkj6SJvERk6GCOHoPWNCj
DXhXZwGIdLf7/r1pT7vtiVs88toTZ/xSTvtndQMw/xrSzedF/zcAFnHEOMWh4PeOgxrAww3HjuAQ
BE3yANA8RCw/Z9PTHnt47SNXPTz0/9dH3y/TfSlixkC3Vh+rnw8qdT8++nECoCb76NIfFVE/zfLu
5o/fFCj6kL8eMLi723zFtx7XQr+67Bbkrz9+C6DcI+5EFqB1nAvOKcTW8fbjIcBBNLzTZsDNFBzO
4VBVd332sTzLmeQCikQ8pJQgsMPV/uMhfAQXMEBQDH4g0Eq/1J7P62JO6+rLpNz//qzy5Xltqt7B
jTncqfl03p25IecqhHKjAMMIEUTc6QTN9eESCtxwOv5fpHIG1SzLteW5WtulbjfcYL/Ky0adlLOp
9ejqzULIuO6MHPepCoaz0YxshTJxohy96aVi2551XrdJFTtc8fOwKKVeJmu1CcW6QIGNi7zhW4aa
Ar7nb4bG93qsZvTGTQitWtUsRBtbl+ukrb1e5BK+HqaR6pnTeeXDpl2rrrB6YWF4UnnjT6ehOGll
Lk97MZ8MWZ8eZ3UWvGt9yifdBobqMnXBLnA8jGSeB2c5c3bXq3LYE2tkrZHpeSzGcZNb+rzBBVsZ
HKhKJz47lFPwVhrxuuaL2sy5Xc6mSvk9GsdiR9PgXVg0JuZsynaTIEOULJWL0iVluzas2Krgxq+d
XLjOcFjrrOA0wobX2ipr9JJQc6KaZjz1pb1IhzrTaYhWnfVpDHqdWRHa11HfTidzMNfrmaGtETk5
qRLWaSfkDPOZzResyedoGESvubDvAj7BVzztLlHR23XWSnI8wphOHCmSjcNURmmRL2d4dCZKkk6u
2qyRq6lz8riXafd8WAqxytI8020dyrhuQ6mn1r43eTlouXij8cRCzWTWRF2KjrEd3vfSL7qYcB6N
s+ujMkU0Xnz3oUsTmEaOs6iSZtJNtZi9IfR8CNo8Svi8bMDbSVyocpcFE9ZdP+zruRkjiftAiyB3
eqnU284kL2UrU91PauPLAAxCOdYyJW8bTm+VKsNV3c9NNJHpZSLUZWVtsFPFcjnilEZzJcNNXRVM
C4mXCDIl1X2SixgNKdVDVuDNhJPuOKva95TVdD9kVSyrw+L8y5z3RJN8crvGpnxVzLmM+zrd5bTa
zvDjXYe81XU9nU7LkkeB4lXc5eObIalabV36nLThCzzSl9Yt9VoVfbXJUH3ly7TYlQonWlR9vp7S
vFkzUrVxWeWnjk+vpe2z1dwFyUom9BxnHK2D3sICQWFy3Ity3RvDLqoE8bgtzRhqnoVFhLrA7OZm
rpheiJO6rySP2mEJ9zlRY5x6V+9R06N1Kuy8wf1wNQfqXTEPMLrlddsmjXZdeh0G6UvVjcuaV4JH
1HSTDlKR6iWo3SZwodceD0mUMCQ3QqFeUzftK1QsOqgZ0RZNs66bBq9qOlY7jAevuzrtddkvfeT6
plnVku3nruiiwLZp1GVjFdkWrGYoTS54Z83aG7OcElz6NQEZZsfL8AXHptRJWibahoxHUjQTrGq+
lLo17F2TVV7XRbtvBQs3C6XFdkjkjR+GVPu0aHSXSH5ZuE5Gsl7oZpzyKmp9X63SkWQpmJ6/Cuox
0TmeXtNxkat6hJ1g2VBFQRK+WsZAbbvQvmhShrUaXXmG5jZ5rvLhqpHCr5rWhadT2Po1npDczx6P
0ezVuA+FGjcEZmClaBe8d8NoIwThOMJibFYZMa94OM46TVMc1amkm9nViR6RKXTpsla7KRyinhC8
QqQtToYxVWsWmPY0GZzfTJLdzniYdZKMZE3KvHpTu+RV7sPwqmkoRCI82utWpTcLmpM4wUMRi3mk
O0Or83aumrOQJX0E4cDvCZ2DUzm4THM/+nVZlufYLEU8VWDQMgSJLopin2d3ptCZxsU45xuW1vW6
G2ixkSF7a0lOXvRLSC8hlqF1WJbBeqytWhchoZetHdxmrMNp249DoN1Iq3gKUp5FqIf7LTQxuynI
l4uUlfStQz3Mjxrzt+PS1ZGt+KbMC6RZZptXqFE0Sm07RER1p45Rv0nS2mokZht5P6cQv6SMy7RN
Vi01rQ5IjrYQu+Z1Hi5jNFHvSz2jcMeLEsfjWGLdt9VwLgLZ6NDZMGpZ9z5ni811Rjp/1Ylq0ITy
YZc7r7bc+7e1cupc5V0Q2YyD44rGOi2arr4QRt0UoQt1b8b+vOtY8EKiIj9jlqGI9Dxfz1N2mvZD
tpFqGi48mfBm6ZKrLpebOjBuY9sm1xMXRVTy0mqfBzJO+6KOq0HERZZOKwG7a8wghJMei61vi7zQ
QQI/HE7G2M0Ba3TSVXw7dgXZVW7MXhc2wbHJeBE14ZjqWWSlzkUTviqk7CPrDdrTjnkIp5LqaWbv
kEyiIA3zlTK+fWs7Kc5YJxIdKJVuzGi7iFbgA2hj8+uWFbBdPaxFP+VdNDhYb7ICe7jsZ734rNbM
zVgj3BeDhrQA5grXb62YIENm1XLBwsxoUuEr63N8yRh1cZkUfiXcQuOK2yqGnpl1x8dhFU52OsMT
bBw8Le2ucDPZPmwW+wojXdfN3Jk0u2/R+/Lrf76oS/j3Y/fYn1/edfj9+dvp59bAH561ua3vOLJ7
fNId4P1yrz/71O4g5pemtUew9VMz4Xcw7Q8P/hzgJbCGwx/B3SeY3J9w+f7qe9QLWrgErIvu+mYQ
kFAJUvg96iVHlH2sSFLQ+EBSYABI71Ev8FkRSqkUl1Cv+ghtP6NeKo6oIAzUdS4AM0NV+q+g3o9d
jl+hXkExdDjKkFOpCKcMmPFD1Dukth/aFr9HxD/vCtdsUc+cxrO4poYPpzwpYH9X/MSN7Ia03uum
TCTkqfqcYxvA1qxriNJjvYHU1awcIN2Y9OX5LMiedVWvW8XyY9u0L/AgpQYC4DWq63C1pK0/dpWS
u7rupx2R7px37mxpy/oi8d2aGkhxixteDZ2Kw2wo14Cdm7hSSq7rZJmipvaBXlxjtDB+PE09m7dF
kxNdK1HpnraxG5W6GpV4mTXsmGSiiduqozFK09fJ0pz3BT6RLJAngrVsFQAUooPPd1Zm403DuI14
F+JIDgHX0uTrxeDLMEjGSAVpE1PeV7rz6rZ07W1FPdYYmx4ymll2GKUnme9xnFVd94JNzQvTtLUu
PLORDEyjbfWBGnHBMMr05Kc1uOCK2MRr4RAMZ8jfOSvEsUrRsjVdH0SKwTAZGrEuPUbHgqtqM02m
icseDqBevPGAcws99a3QaGpq7XK8QLBOw2vaLl6THr6bBn49Eeb1qAZ5YpO8WXUEpm5ue7IBCIc1
Ky15L2G0u5b4ZTeqqVvXdbcJe4T1knZnE0u1LCZ/7MfmA2bgcVham0LYYsWKlO0nIq5HR05oN9lt
HRDAhsql/qLK5BtfzLtZ1udBningA/ik6fJlV2b0jUtxflxMbRAh3LwgJIXn9+x8gKhoF2l03dFi
L1pYkgrWXpDZWuewcvQAoGKX5Dnfc5FNe5tWKDYLtscMqJlbI1a4KWbt0l6jFIO7WuaDNQ674MBm
3OnRl9FsZ/9+RA160yq7rOqylZcjFeEelQE+zFXbv+B9bW4RxbA0loSctNblEXgXlgZGzUmdFmjb
pksG894u67F45VmZZBFz7fKmpD3fkAS8hWy5bExVdFMEaaBbSZX3u1bNsxZT8qqTtnS6H0JcRnbO
+5Ubq+pgwwaNMWqJyjU0ApCzNAAIRpzLt0nZhvE0kHbbcPu+pGF55kJOWNQW5QT0KsHY6bkE4Dgm
GMCdydv0lIw5ei6z1KxKOTNYUANXWWQBF65N0IZ67Ob8YILObQoyuVZPgBW1Ry17Y0PfvRHhjNa0
CS6HJpkukqLwz1XHImCA07ldennqg4a8ZojlH1KARMe4TyxQnjpZiSQ3Kz5P6OVgPT3JXEbiCZdi
laBctpu5Tltd24Uej7ymF+Wkei3bkpyWY8uPWamWD1aStauGY9j055knS9T3fRDPgMiOrRhQlPTy
ReMCBQl9GmIrsucjXbo4aUWoWxo0ZziFjJuFCdFKzJdV2RereppXAzQ7RksPYJ4s5cVSV1VEi2ne
tY41F4XoyvNF5mEUhPKt9NOyrkSbnE2ejy+nZOZriSdywSuY/o2jd6h0oemrtMP4gDwsXj5ie8FD
zxbt+4le+6rMdJKrkUcAOdEqrdL5NcLU7GcXDm8Sw6jS2HIETLYmr1MECD2wU7JXU1Nuxz5Xx/Cw
9jkANmATTeFCiAx0OM/5ULydFpWvWGdGAK+N6SK1cHvRBW2zEsbRE4qITeMAY/ZyRAM5szivNIaU
FZOqfitzsgDI6/0x6BhXuFGN5kBoLsesARWkIfOqkeR1U2U3jWiBQVdwep4Uwy5hPj+fJiA8bV2/
9TzY5GKcX4wIfGbmcF/WYv4wOZZGYza6qKymqtF53o/r0Np0j4e83qoqgaWAcR2bBkDYnEwzsGSB
Y4UAomFMuttOLB+WIrXxkmc2loUEblW106oiExDDHPVxYhFxKx8Ad9tWpiAQp3hYjlEg8GvY8uGq
owtbLdiYVT1zdlnKEG8FUNV+gwY00PgBIHhCTgLF6lFavWtQkBTiAihajAGeeJhWuaOLKJA4pDR8
AxWFNzMh1yBuvcnMgPX/wLTvv9zxJ9ACSRjmmIFi/OWFj2+EySdbVJ+6xT1cgwJPCAIkKJGIMoUJ
Bjh0D9fupOi7Qq0UErrWOYFi7WeNEh9hUDRB2EQgYzN8h6HuNUooyEsJ/FYxJFQoFcC/z7j1K/wN
2uwTi+ru6V+tKngwCKVgRwidL2GIYOwPV5XpFJ8zzKyWxKdvlZfVvjSJWvHGA9emPd6QmbutN9Pg
tGv5EIUM9Cg69tOnRffpPZInTAkFlFQe2QLdx9AyF8LY7rqn7uTUB3KpT7MqS3JqdElSMUd5QMy+
mCB7zlm+N6m94aSaPtSUVxFvByujZmwyEBAk1giBIgjBVUbODoHTU2L7mAwo3TVtqnTa5kCoJhD9
dKfCUJetymIzZaCGFoEuxsRplS27tkhVFEzp2w4UvCidAfGhvKi0qd2+ZuOgG3a5tNm6yHogv64+
kKZsolaG50GBfURG2axF5UGDYZlaq6ayEZ7KbZjZNyqZzysMwTpv/JltZhJhL52uWwg0Myu7KAmb
W2mKC7TM24DlVZyX7LhqGk1l3+xQVlYxFbhYYe7ndYfD6UVQTc/xPLVxU0JmCJag0ikDBZGEH4K0
OrUDp5Ass3ZvEDmuhvpcNnm+C1K4SZ5KfLEkrr6Tld96hYo4F7RfKdBgIc9zTeuGxHxWRdShAr0Z
QVuxGjRqpytJ6lLjauqjJpvKfYiS7tzU5ZUPzCZxAYsnUm65Ta4n2cIkzG5aoZmuUTuIFSptpccR
0JhEhOs0d25NJtAk285zSJ+1W7MuUVHduu7EJD6MSFq16yTr349Ae3U719W6nufmCoHyG3Wc7VsQ
dzXJkoiXqDk1Qx3GPu/yLVIlitu6KGHV2hcp6tx6biF+6zDzRdx2BKBlWWQnqc1MxEODN2nYP8+T
uVwNQxnbvLkxA0Kxn8wtSwFi+yHxKzmA2ZQ0vXZ1bU9C5btj0mT9KnOLi7K2CjUpl+yyC1tQz5ds
XePFr/oq6fe0DKsV6sN+BYBpeDmWNWAwmb6e5VBH1NlCmza/JEFI9kWdv3VpFxx3Ng/0bIHlJ3dJ
EnZntyLKG1iWJZiQwMBG9GEGSLufgULMCuQVmw1v0iFxx3VZb9p+yp8rW1a6yadblFWAmoIwjdAM
1yfIX6W5mSNL2nbrSXrTcihWFKQE6QsVVWSYGGNhQVNtQ9RuRgtJd4EeuzgoZPac5ag8h2w1gHrE
6DFBIQLsbTnIYLO6QgISus0UPU6bXJ2RIn3FXfGaD1xoopbNNOMPiyTvQKnK93xk9nhq82mTtGht
bDeuQj90l64r1TpI7QsTlgZoAp83qejGrbM+Aw259MBKAE4AELhAZmArWw3t1thQXXGf841XsHjo
xGqQ9f1aMtHCuGypO5nRNUPurOSh0DMTSLcZxAoQnD/Mo3OrYEb7JW/xbumGMW6carZBOvaxYYvc
2qYZtiwnxZbMXbfnrE6f57mBoGMlvA+1lFE31MesElnMJqpiUlKAznUTtjCNcFprCOirJAmgotGL
eAauGQ1VWkZ5YrYWo0UbnC+nLQx3M8+pWddF2u+IFa/R7H3cjjwT0UzK97Yqb8bG55uWMrdNAmQv
RhBogdaOXGPZuedCNvXKLaKMoPJSrjlqhgyoJzt2FI0rv0zVrWFFl2gCVZYNUX144VTiN+ECLKuF
4gOUq8ge182ybRVdjrssBJ1Shk0kAOuuIVbv51Ik8Tz3V1AMGWHSloMA5XszdMEriouhjBoLW6aZ
OnCAK1As5VyspnIyMaD3TodjEzz3JZWxsQRqI3YZXzpVuvOxMGjNEnnJWTKfZrTJQRDMzMqwoTxN
J4BImrH0ZjJsM3s2RJ5BCSsdmIpGn1UamEmyAoomNxnO22ObCRoVgc/joWGRCuclzpwtQWRd0iRu
IAW+6DigU+qc3JdAXaKxKHPNWRNEKVQQIArPwb7uRNboaiGhriZc66XsZWSHlO/GsXuFCBs2QgZY
Q2Glg5BmOcjTNIwSqCSdggoBI+ih4tMb4GgwF1BRCOyLOQfSQGaTxd6fTXW4rkWzr5amiVzlsOYm
j2lTT7DHpDwzcye2U4ddpExvLxrA5ms8DruxgAeWons/9oOLesRl3LZ5uYbtN21H0OZjlmZ2PQfd
+14VXuMxRNpBZI/HcGIvZA+YfiwBTTM82AgEFqShm+W0Nc6fpB78x8e75dNUxbqcc3TKLeUvR5X6
t5bBOCAvmNiOJUx2kvD1BAr/DnWgUhLWhXouZAfLfwYSlbylI2bxMjW40SahyQb1vgUNVnpdZjOe
4QrjLjyCUJtwmFzeUYAhPLxd5PhyJs2xScW7CrJm1Ms5O4V+XrnKkkpG0+jy1ZTLA5JtsA6hP0BT
oMYnKUvzN6nK+dtuGLZFMWYQByBUU1AatOiLfmf6UsZNQkTU8tMqEDnwA9D/RU+jelZIgAQy0jfw
ziHRiQzLUwapNLYNvkga+iKA4kKEMsy1G1CxK5bsucJApFvepq8Bx7WbYEAfxjJP14WEuqkrQLfv
aZOucAmsmHjaPw9qO61BSr+YgyGIunDOTxtiQLlFM6T1nNTvCovtS6B/wy60ZNgp04Gky0EoLgb3
vkiHq9R0UEE1OewnPJiTZeEJ7HNqL7LF7qB1jb/NK0hzLc7mFVzTHHPePicAS2ERtFNkMEpe8aJw
UWHh1rjBySYDNe0EZfaVMyxYE9IE66kXbptb325lYjqNYMdfLNKxVZ4Eeazc1D8PkxpEa2ST5z4s
2fN04EzXVFwKS+ptNqkp6mmVnWU4WyJchu8Hs7zuffohmEQBSgeASiVgk5IBCHtWFXzd46XbdkWz
483AXhaZsptytPtCAvxrISlEbpZnUM2vYK/25zkp10bwULtFvlsGMcP8zdk5YqDqA0WEWwZjjDtj
N6MnV0sNKdjO5ZZBoTWC4zVUnOQrS9jLmSoYUb1AYjCAHysiz2UOZPEuPQ1qMhEA2fJKzpDdJgnu
XtwBy2mfMhHoLICIKBM3noCAN8HQ8fH/0LOfomfAiUDs/j43+/athwfE7NPF96yMHwkKCrmSUJ1n
0JlB/xTR4dUeePEK/iOgY0N4VnDoMy2DlyAldI0I6Py6u4YCg/mzdUTC31nApCQEeovYX6Nl8Iiv
mRB0u0NnivzYFkiovGNKD5iQTEW2VN006QnTOhrKrtlMXWP2DybnKcb1+Ckc2GV410MqJBR+wjvF
4cFTyoX2RduYUc+5sG+hsg1S0kjZ63ke2/jHj8Lo22cB1wXOKuClNnjN9BHPHHofJn1RjhqwYQux
MM+3TOYoaoZqGzQ0iEWVThEU+y6aAQ6B3v1jA76ZUY7g+fDSHYU6MBQ57ux7MFa+cDE6D89HfJav
xFCTNW2Lev3jp9wtgK8dB4+Bd9CxpAJBw2f4qOPHcYOUZ9moTcWqqLYwpgYBhjHztcP9SY7sAvmE
nPnMrhCH4ntF7Z4tyeWcipOelK/7ZIrnsHnnx2zraQvIcJG9nopTXlZSC9HtofcCenUARK6KqdmW
bBijJlE64Pws6bqXho6Hyc5QVyZ4W8Ibv5rIItM45K/yFvo1zHL177k7+abTiSMJUB+SoBBhSPgj
93o0QmU3FFCCrKFMrFS4w10TBU2XXYVNR/TQZEKPQFqiCbMzoeQVNBcYnS98w0T/pskBgtM0fRmK
+r2CyqYnJbT+JOwk5Umt07m+KhAwOZzsfuywJ/wlEYPXZqGNDNq9Hndo5TVrsUMc7M67dy0ONp3P
tnWSxdM4bkeOz/rBXP/4keROqPuqKwzmCktoHb2Tz+HNikdrhLXNyJNqGvSStRakCHY9IHaScXGC
m+HCeKiIYWnicgLKVQZ9Drybn0Ob1hsLXRj5NG4srJuuXIZoUoDbnJlBFAAhtg1XZhhfdQJSLpnb
uFbTSd9l/8Z8fGfeN+YrEkJfHQuhyvdIh5Rt6yEGeuhcKmgVqT7AUdsKrsfJr6ywEUsBLg9SXdpZ
PG8NNMAYz0A4n+WHH0/kY0EU3kWXBJROAaoa1C/Duy3/YEsD52l6kjQDyMbknDh2DsUvyL5UvUcN
0OYfP+yphcJAIIOme0IF1Fe/flhAOmgsuJOA/i93Z9IkOY5k6V/EERIkuFzmwMVWN1/Mt4i4QNwj
PEAA3AGQBH99P8usnsqqkZbqkr6MzCUrU6TCw9wIU6i+9z01I5IJn0fvky/pteflbJtzC/4mCet/
UZ5vn5l/fKNxRsIsDUErximuon/8K206K20FaolH17JJ5CFJ6n0zTHkdDXeYJis1ZHm7tP/irw3w
GP/5b07wO6L7u5m3qGI3h/mv7yxKCRvbFiIH1PP0JWkJbKxl805COHMlDAJN5DMiqiVsk8M4ueQ7
7TL/Xqwtf7dBkj1i9uGoXE5rNOaTvdumxfZ5mOh4H1ibgE/KFthFIFRYwQUdjnMv2WfW9BOYt9lT
ICDC+TCTqDtN0RTfrRrmUcP7JG8wtNg8mob+joEWRA+/tOwks+k9DMQIO3gCSrSYETIUj8cD+mj3
0MJPOg+D8gsKxXDLh5hOx3FUDnQKn+9Num333jqv37OIT/vYke4RQJrEo5bkS28wkItZ9Lth0/RH
OGMWTzvh2tzXwYNpu2CvvMG+bpCIRj/c9S2dH7QhECiYDrM7sH+/YIR6G8ywlLxILCbadc3cV4gF
9HkatOLIkrUu06hdKxAb0b0XmkSWAWayfFOQ96KFhvnW4yXlxs/cdRbZS7fqrwaW3Y80AKyiMSxD
+9BeGRuMNPnsx/SUrdK+ziQ7A3idunzs6mUHVAnyEwH7wqAOvjlohAgpDRZnzGvGfTcNcFFimzxo
NcWFXtybT3U1g5A7h8zi3U1ncHGytsXWBN4Iu1S5ByLn+GTbRL/aBJUJxAI9A5gb3oImWyEBTeI+
6jqvXIjOKsZGvIwBr0DQcTrTbJ5LuXjBQQ/ji1LNO8xIVQI+XX70freAysy24T0aa82A5RkPbxa0
IEw/RD2lHLqnhcV1hdLQvdYLhKecGQfQMoYQlEcDBl9fDHwHsuXZuA7ai2VNkSo/zR3ANMwTsjJ4
pFWLKbcw0pdwAEN3YJbTx8XX9EoWwfdzM6sqi7IeTjprKyCQvFBqmU+mFtkZ0oZf1TEcR8ZT2NPL
OGMenRkIWNODyfXXYNl7NgamAJoJ4nO6MpNzT0en1poFegwXhWs9W00sgg+9pLRQIfRKa6c9/jd9
gcs4/oD1ZyHjDd78QLl4UkbPh963zZ3ym+YYq2TZxc5hmmtp4r81dWJ+tkEviqap12cp8Lo7617T
BPP6uqjxRDrJioa2D0LUZy8iL7iBgjtnsgmeVuTvgGgGe4sWZ6ciAFQeU14ZKV8+9G3UVNwT2TcN
tatk0dDBK2OgAU3/s1deehzjlVTWN72Cm9J3lbXUgY6yr4GidK+g4OVx+9kPozk5Xcf7jLANwsy6
XLNIJGUfpOZJJMxcGJsfw5TqvEn6s6Zr7tf9AO2rTp8Vryl4UchKZGH2l0uh8kD5B2IGWRDurRRl
N/rtKSWooCptFJC15BRGLDh7XtKXmyB7I/zgxzgF6VmIMYjycV783Yr5doMfXTHntTyHMAvvuKX6
NMJx2+kNE2Rfd9nOMYjlIE28vOeL3aeTi38sHLWRa1rVamouWwveEApCUyQ2CPeoBFkp4qW5hF0G
Zo6Y2RUod2YtolWFPwOo1mvGdYk2C8bBkhW1GsejaVx2NwXm0YDderdse9g86x+jFW+h7VFDtgWs
Y0ls90uz4GXp1CHOVnJoF9Y+eSGAGbCDdO+Av+aNZrLAvjawEW1MDkso6R6kQrpjca8qHZkv5zOv
9JvpvMDXzGe7nR117R1r1uNsojZf+Sx/slaHecKH8EGvmYK9SqpYL/ksxw5PyHuH4FsQMleReETH
W0bgVpM23Eo7DUdAlAVfx4e00XntOrzCEGhDb8D4ZRbaPq+8Vp17+yNRNiqXOHyEkY2PRs/f1uHX
YORplSBPlslH7V/rpzXsn+cmvR+Z+5itfVNduOQ4gFCMdFAauM15aMmYZ7LngNVdOaiYF7QbzhmO
CLThV7dA9K6HLMkBv3+bzfDl2d7LWcOSsmbbkps+vuox/CEgmhatlD8Ut+c12+5Tnb11kX8PbwgV
6XnKtpIPvf8nXAS45p5Tf99oWMYNuwBthQu/NS/cLF2u5uinGvWJxs3vZugPgLyPQxic+aLuk2Q3
pv21N4D5HKlIIzqUq1gWkQDlEAafCBi8rZ232+xYRA7cN+ku9XKS6ub1D15OO8dPJFyXPEpa9lzX
JgTeMoxlwtXBZX1drIR2ONrqwyUaPMTwCucITcaNJ4oidfWHND77mwcnK3mmlsVFryk9Aa7Y0ZuS
RzWetEV73OJG3Xd4PxxavsW/hyJZKhe8j2EIZqTp4ypM0meIh08gwEnRoYznY6KyN6qndz07XaRU
tfiNxX1GNEDMyYBPadPvysOrp2J25ar4s7/2QRGk0Mj90Mx7wF/9GeMxZNh4eFpYD21Oh63Yt0L8
vlmDebsCvqymNJz3bb/Me4fI7I5aw+EakGinFK5PE4YHaVCw9Rpd03pbKiE14HrjHrcR6HebhLva
m0w1eB44LCpZvhIfUUjMKrf4BAj3yhfTUIWbhaexqTgfDc/e8XQgweLsZm1uXA+MPx7yuhUvWzqU
Xj2ukOqH8DlecatSnKk9SKPTkvgV6XHfBOGP2kMP40Z1RdG+4j6Hem9QRDSj90viLacxBu48gv/C
ZWBR1gciq3GeU6BN7rGhEC61ARAFzBbmKDvaUdODv/UhFLtozROkUMJEMaBwAS0Dbz1nsY5L2yTz
DqDydYXBl0P4jEt/ioHzeusPSRZ1TKNF/+oSnt11W+twm4vnLKizsxiSQy/D3/HAjyGQ5D2NZlI2
sEmTidfAfvtvOpQD4NmGVInsX/g0vA5e0JU9m2Xh9w1KmEoqGvcHf6FJsSGkItX6EE/rNwUeSsNH
BfTnLD4J5rwM4UmiQzRL3OQ88E6eiZ89MZ3iVBzTZFV5PXvRr0HSdx+wxmxCUa1N71VDz09Tb3A/
k/5BWhlVtp8fl2lRebgM8F1xvQ1O5iJyX8M2NYjQgHuiuimskiDGbjcPQxsIXen3Njp2UAbdQhpm
BaIrdbEk5HMDe+2jpSwi4lUQuU9yC+/nrnkcInRCuDc/tkbuWuIKLb0qlXMADn5EYGc8NJl5t8Z8
S1B7ysQH1DV563u/tvWh6RscIUHPLmk+cFET1KD4TDkO8yBEcAitLPgAsMpwPy1XxruqJwwyMYPd
zckrnC14Jav3ukae28e+QqiiSTHpihpZEPcQjBnCGRvnD+vkx0XD02SHi16AJTf3DuGXYvDMay9B
6iwoYbSd693csx9dG7/VALCPXsKfMAXgTM79B08CV8TozxDGwRG1+ByXA21fkY/ANW6PCkGkBkau
m6sgRegiWPvCzfHvwdZvbO6zvclI+taHTVyNstMlAMQob1xdg+eiU7HVnHwMFL9Ztn4X4Qhjvu+C
vJP1Y7yFXg6faNfe7u14XJ6mTG9Fs4Gu21L61QZAeOpoRHIjQsQJXWQam1++5OFxCTQqwzYHp3ml
0MkzBmWmG6+JD+9wJfJBIzSzB8vxpRttngcS45VwXA1hgkbBYmTJJWpcYOeHzBfBzktriWuxb3ZD
L0GMIy1RLErva+ormBNk3FOx+Xu6wpMQXdcXunG2zCTOOCXTPluBZC8eO0K8NtvRq12PcSb7vWbx
68o3/0i1q/ekniMYViiMm3fdxDbs4DeIvBl86GfNPhu9toh76fIo8EixyujMx/5C1frcwCSUJjr6
M0HEic8wauqohrrkbNEEdb8P7Vs2B9Cdgo+NTn7OYQrmkKMe5Wx3URfDAxNwbsVpkGwETVC/1qN5
XZPgATCGKUD9/VTG58Wo4IdQQFobnh98zpLGGtiG8Z+njdhcWT+8p3gCb/iAyEOWGlEKQqfSILem
Mvur3sb7IV2DMu3dM3T5A5Crz80oh6iKuzL5vOG6HJfopUmib4uIcdeH+uhqi86WIMI0RdFSTCnU
gAWQGJdb8sD7EG/GSswOBbsgwXbN1NCWQxjREhGhB8ajrdA1bh+yNvMBoYP9CoLx1V/XXbp5IH61
eBgi3OfzvItq/ejz+nOiEa4mahBwSv28jRSGphitoI9Pkb0BxXIO69Mi8CcC/41iTWuaaQ+UvqPl
MG64njJaCt9kVZRBE+ra4EGDATmzQJ55vEC1zNjnygkt0d50eeTEOUlQ8LfawmRWFC19G4gcWgwt
kgYS2sj8CtQ1bFom4dbQoKSh2cceUIl1NBhnY8CcG98nPXIboai7Xdz059nfrjbz3iMQrlWsVFuC
iazP1Jt2y4IqJJrgPt42FMM1SMvJ3ISr7GUFkNKxLKmQpjoOq8bxY7PIxSp+dyb53vnf2ACEUG6+
KXg/puBdhC1qwQ5NyiOANz5G7br7CCkubjF0Hu42fllUOAP4QJuOYrGqsvXUsRXz2wY+vHQWlVZP
juzGVu/aTLDT5Jpywoa8fAgBkacI7ZQurPcDEmXQyazDmYJhhoYZNNC6XfBzk6qT+qBIh2BkG1Y6
5rwMlLsHQFFNFpppEq2ntouKbsFpcBhQcQmsBTDhGT8fA0/m1VMuJ3bHpvo7chN43qNBxVLyXvIY
filM12PNAP1kRpM8dbiZF3jsD9SY9yDxvsSEwTwI5VMjJkyLzLnKWbwJagnNiUT+5+DQZzl0m1sD
cgkqk0889O/+PZrjgo4LKYbWIAqmoYkMQQwVIUQYBLXqmxf4exRh0FpZALudxFXkrDoG/MUzJido
6hEDsY9z0D5sq+N72bSkYDW9zGLa1WuUY4LnBen4uTN4SLxjDsNJJx6kC661D+QbC326U+YhqTIi
DgAzjtsCkU+Cwukd+3jIinaA0Y1qcQkteKl1gIbTU/mRpl2XJ2gpDq6GRt1MmEgTwAobA4qNNhXi
OddnqGJj0a8C/qN+b+fw64+ngIjelidqkZUFUT1NsqKj9xDFc111uh7KJFBLPvXQpgYlXyT83rJ3
EaawOOOFCLePabRHP+V9hQs1PqZb8kosmK9o+en77V0wrzZn7kZ3pUSXGeaUJBifw3kTBWUqxSgx
vtfBps/eHMxFN7JviEl9CYNGRrvuxWr6NlFMiFSjNZ/XkZRLID8C9Df5pAir9Kgx+bCibv21GGvm
A6g37GAcGIzJMGRh66mUq0GGIZ2XfMNMlE9R+22cGUCVpNf4MV18rZGb3YcCHWm/CLvPWgACXbc+
KWFEMTWiP/ENSV0WEiBhR+UhUBgPTBWdbr8HlpbERxwQFMdCpv7e4Y4G27vEJ2k4iH9NruMG/9Wr
2/NINq9YTfTeDYG5rIMA0oyf7I8S+bIwePSb5PeommSvIuHvV5PVOLwzBAD4+0sovMobgq7gZHjd
vAZvWBgc1yw4krDW19Etd2gno9zvArVLISc1EQGxa2yBqPUOScc2R5SZYfYZrhkaYC9KDjF+C1/W
IK+5PNBmkhg4tzIM07t6kO1ZBNsnRnzM0PhP2LLprgGhta3L59aw6cn3aVOaGEE0U6e/t1sGDDRN
blnwKI37wfn45m5diwntZdw6jjDbj5qz/Tz0pkhElIforvIBucqKWzQwSfuWuLbPCUX4mIe45LAk
HNWDp3ecZyRv6fbZdRw/cNJo+pDVHV38u08WVrjJZ/ngoaI3ET+I3jvyCB/qEOLBardvE1Oy4tOI
ttETu64P3jaJQyYtoCj4eVdoG1sF4iPezX7QHTWFjQfYY9ox1KpVqOBA+/aczfQpgtCayORe6AE6
Q/hph+wKqexQd8Nn3Zjvq4xz4P4lNM0HZ+mB+skL8dj7IlI8mSQ8pqN8JFlwhxCCAy/QVcyj91RD
AghxWD0O2INIPKasYTFSnFnlc/9duPS1XucP6w8e8u619+Gt1yyMvhMPuq9SL2mnP5ORGJy8LS7W
LUGwXCG04640tR80TV4gTCwF6J2vRtbfmnHDsejk69jEQeGi9MtIgox2ABQp6g7hetQ6/gX6BfXH
A5KGqOhz3fMLHfh457bPaWynHOFO5Hg8/Boz0jhvseU/NwQbdgjbZjmjgIu2yCutSLZ9J+QZ41K/
4ya6Ux35Fi/JZWqWI03Vw7RBMcDOATzurbtaxcokWS/A378Tlz3wGE2NmA/ZjGOaOHHEH6uMP1fp
LeVN3HYO6vXgTI+CK8FcRKr9lk71S9gnSMGinBlSI/I4rcgmb2m305EIj3zIkDv2xcXAWURTnDxh
bYA+ULCMzhcvyaxx46YMieIselDtiD4lQo1fCAHJ1U7PINo/6w2jOPzFaRy+tkGoUtd+OWBXxn7s
1b0zoO+IWpCjmBt8HCXHXAT0RwetLPq58TDT6ewErMwvgI+UXrwcyBhe0EF8N9tkULFgTxHvPrIE
qYnZ/4mr71MsC4QMgPfsFrNtuhKR45+d1mdQcTK3NH4GT1yZhZfjOj8a7ZedxIAy8gUPtH7dpDgs
pL3MHRxwinz9FiBqA9wpB4CHqM0CbKrdwOquULfQen+rPYu4dAP8xe/ZCz706V6n9ns7xNNTZtgP
5LXxhthLP9XnCR35ugkfSEzylHrziNLJwjIRrPS78c1P5LNzF7khvNlAUl15+CnGZC9gdahB6Grx
WxxpNC+a3sdTBDwY3qcCxVI45Bjg6ncntSxjlfLbs3NgQzPb38Fd/wYI7lxnPkNvSu7BPd3TbPgB
WA3qTgL8eUHn3gpqiqavo+cJ0Ze90gKaQLx9Qw7JYWUELq2mDtkxler7FsQKJWrgJTQexIcQ+WBN
+GTYvOuihe+hBpxFqOFJexEgv+iW0sjkzl/v69maA0cyuNQiay6uji2y+PFD4we7GEmG3Nb8HnTe
yaPmtSX4/93GBgyjlZm9oPS8IT3xJYPgZsTPpEuuUMDhA03ZXMFBvFg0qzg1o6o84SX7rvFBS2NH
Q54m2lwm2Ex3DaTtPCLRUoq2exNJcISxgDi6hpBNmviDy+QbnIKX0InPcd1+11kcVal3y7ku1CsE
wo4QQJO4wsSriyWYX0cbvLfIppytUEux+HTYZZAUkeEAlrdBMwNpjaabslJ0WZzD6WJ3wcbBhiJQ
D6VBRwE5eIF0exyAutIThPk6mLY3GwA0vPHX23NjbPyTCQ8bCeqsDc8N6v8vErKbjEkNf5I4nQAF
mygoFnxTxH7eVojSfTTrw1Tb7gvxnv5JLiBCGfMxy6JS3WDDRv2cGA5UBxQLyklsMLOMwP0QwsGX
TBTUePEBfbPCfDnUT5Gg8gvNQfTbztS7oguefmRrnT03mKIhiiMuzMwV+e+ffYpGrlAr8vK0Q/wo
96cueYxDuXzZYcs+TKxJ+yfx8bdtMo9/GpV/rkP5a9j2r9nb//3fy/H+TwLB/w9mfcMoIXCH/2tK
6e8Jkr8v+f0Xu39v62T+9nP/BJh8fJUI1sP5N+QIKZAIG3X+T6zktsoUXz6CXZn4DhJys8j/DjD5
WIJ62zuNf9AMIBw89f/MlST/K41uWzaRy0C+BDLSv5Mrof+XX46kMYFDjwEQPxZUyD9ayK0dpYeh
EPZpPH2DGUaP6Uo/eSCye0qwpSKY+HRaOltXdbvuZzGP77pz8Us4xn4lDPQvLvzwtrYGGqJ1OO5k
Gac7l9E724TN+5Bk+CxNqv4aESB0t9rmXZRXf6JTfjXxDLMUO2tufCN4au1U/7nYsEESQejHbDZ3
2zAlr8kIt8nAm9kNdnRnrfvl0cb1F+mcg0FELYBO85Z4Zi9NPd2lKXxtYJW1OfJW6qG0TN4hIXrV
UWzKgMXZsRYDmktvGrNTOPXzISb99uSrrPneBjcDdw0gVnmct9e/nKC/fdj+umuI/gEw/ZUWSPCo
g1vkGgAO0jPhP73hfoM2gfjqkxiN8Crsp/3gNduOsST8QE6fX+MU6dzbmHdtOG6PefO9D8vH7q6L
qf9JevUZQvJBXhVgiS+TMb6XzG6qWMK5/gVKHJPFqKLtQJKlebbJgE0Evu3QbWIPQPPWR6kH/XxE
kqYZ/Zu9jl8csP+M2B+l2yF2U1Z0kksoN9Kp3It0Vj/SlDl+6Lmv35EuBh3c1v1bMxOPYB+Njp8b
a6YjVz6yyb2NMTXa0PuFhF9XRPUU5p2DKjdknsD+EYxaKcT8SzPUPrY9bN45kfh1DFL0ZQf9EX9V
eGFQEfZ64yfQ8S14cEfKLp1vMRqSVRL9dwllZEYEcnyaJEUrKWMg0mJiZQDpMmI3qYCERwx3fSVx
re9xWc4FZF+FKUYT+pSttDv3vMV5EPVQ3zEVe/CLcb0BJU8fsTbpNU4ZOwzMI1W4JEmuEmqvbAN+
DAsO91XbD3u6AByCdz/hPSd0TsuwQxgVfktU9YPIop0f2m0sle63i8AanDMxnsX8pGVmq3ki/sM8
T7YKRPTbH4y7Kc3VrKCkaASlK38i0xEE23BY1BrDecIjyMZwvZdb1jxOJDKnlU/uwjl2HI1jGx0Y
Zd+IuvkfqYxfga4vF18OmL9lmjyPo0P0ofOwu6QN5+eUZGhjyAhAKJEqBbEMY1VvfvrAvC2LK8sN
EiABvonnk1DpFQYVoqT4SfgtgVc/MexsamNuDgtDepqmU/wM18JU3ZT5nwHmeyhGzuv9vLdJ9q3v
bPBd3rYM7ESUihQdk+djMUafxieCF/auWAwSw2+zxJxRFjF8oC3Sv2Toq69unps3H/uXXrYoTBD/
1NtTetMVYqazfYyR4yms22AtszEKH5thIHWpM14fYC8u1wExzTIAno0lPCtsBT6AsAZsFr1A0TEX
afsJ+H5XYzKcVxNWVEd+CbD9C3ma4V15dkHWaayfGjt6+67Xzb6nwCcQNljxAqDAyBhCuUrXvdcZ
u6uhlsN2CqD3mTG8G6AfJFgdsiPoV3606y0BlMT8xE3P+mqhm4XjK5KdWuca+3WEOcQem98U4mjS
t96vqEYcf2cDQy+JhydUdzPkwam/G/F+fYgQiaEepe1XAMALWGYLQTxRWGI2JuZ2bnx12eb4gryu
j/j4nJ5ltr1EwGPvceB15RIEbzg2lvQINXUSSTHxOGPTT0480wKQHuWhSzd0k9gHsfTBcFnDQWEx
VsgrsfRmh/U8O3gYBD3RKHZMkeCaSXuSMzJdbMWqFcuVd8XAFbwlovbg+YQSMRCJfwERgHgSnJWe
8DdWS3RoofHvvUicSZp62KOCrwcLsgnLl+bVuXuHr+vaD7OGsTGn4kAdBglEYqYjNJ/hHJEAbMxk
g9d648NONvYj7vS16dyrcJku2Y2KWY1BKrc9cOPTPKTrkcIJ/0VY790EF2hu8IoaCCe4xUHJwaZe
Fig1NzUyg5BgAuTf3IYMgwgzLHPypubJQgp9h2zNcqyLQvIFO9YwEvIxzjCZiL1gGlvhujTL06Ud
KjbO3kGASXvkiPtPuVt7dlynHsNmZrN8lZk6ZUFqKwjT3t0mQgyHNbRTGNE465E/H7AORxd6trwI
GURmUyvzEhJazRaq4EiXHpbTQEGWLLwtkfFKjjBj/Ad/DcX92C9d5Rbs1lDhOH8qI36Pkk5PKjWs
1KGCXGTaEJ1u38Ev4609JLN75wL1a1LjdcPBrlIbgPIn7kNFrXyQPEPinsyvMdroLzS4A1rZrkZi
U9LrsAI45Kn60cfd9oiviJvKBqInNveoaIcgZXSqR6z2YG5W+8RvkV9FvEMjl5svOFRMboimjJ0a
8xYbgfK0Q8xt6OK0ggMEiC/Z7oaYyEsjU7lCms1+1SlcxKwnCivsgjttEfta0ZPjiWU6n1vDq41u
z9hksB2zdOo+kqDDeqwFsmzR9u10L5Wbn/w+wWhegwuFyDVBdnK2voUz5xIsaFKQWLyyKFT38BH4
mSJR1RTwmcweuA1y9YqTC91GZBETB5oysVjLtbDujsR+LcpQOTMUA+7QcxtyJCgsDeFeW2qTxx4w
5h3YOXFbOFDrvWjanwDm2jJY5F3UeCsiQUhUSq9pcriFLYaq1JUBibzKdeNTgoVyMNLadwa9+YTt
R7gZdE0fsKalhhDpcqQklwrT6g2vyGa48aN9hNKF8TplvwI6e+WErTN7EVBkGeEVxhjYaHwJogYE
VBdg2RmbxvRlxkfjyY8n2yLjqkVYYLuJbZGOTORZ1ym9CmWg+/p2quvCdogijQ12cvRKjIicppjs
V9krbHG6ybfIm/mIy9UElTPB2rodR2jz3rGI7bMJ+wUjEzd7OmfdK6xW+9DGo3hq0tU+0oX2P9d+
bY7O89ylb8lSreNES7gZQEYGFyfeCbJdYoDWevTxjy0cqsVLpx02miXg8h6721KNbSTYr+FH07aU
4abcRzRgFdYRNGRXJbctHViSOFUxgbpXbLctHvDX4SUDr8GWDwm6ExvI0pvyDPPb0iUoRI3smMYX
ktzBXZNHxDzrL+TG9QvScsEH4At67m5rRkZYCKD1BqweGdLlE8ttkfS8LScZ/9hTst1WlmB5y/gz
mem6HGe1wq2qb+tNslitH3+0pP/WAPj/2WgXUApU9r+e7P665PUvyZM//tTfgifYWQpYGYMb4ggh
9kXcvhjmb+sAEsxtGNlgRQRBjLVFfwme3LY3ETxRTGyY+LC+FETuf85tMRYVo+3HBn4UMQRX0n9n
bkOS5Z/Y31usBW0U2HQEGGj0z4MbthFMyxzNv+2G6aj0ANNlBUtVcNk6k90BtelhFXaAGeGtbyer
5nuMcvM+JBP2zo0zrQYHTZP7Rh+GAUs1fFtP37Rb0TwKxH57jZw9TRK1FzPt/aLDNrVdmnUjrOSp
/+Gg9yAjRhrP5BK3wqVdu+BnMiEht3baft1y/odkIzVCstRiUdS6hk1WhLELLth7RJ6bpWOv2EKD
uDDS9usBUFL0QbHrhPdCnYdW4i5zS5qdVdeQZ40gClY8cUQi1WDaF+UbiP5DvA4NSNUQuU5MAR+J
tCs2WW3ZGUtugguwlgvpsx4uDpAltBcNwNBoM80uRAQFcDLBbpFTOlC8JOiSfe6pm1souUamgSPW
entDQwrBvEOSM09GrJIrRIPXFARLcGnUkL63FGlsPHAOFDq12Q4LVteo0EJ2J3SK20dKvPYFFDEY
BjktWb55sM4VEi6lDPrgEaZmXwYd4GYkf6ZXiKZR4WdJ8AJXi/1m/0HemSzHjWxb9l/e3K8BDjia
wZsEog8GGewpTmCiKKLve/xVfUP9WC0wb90rKbOU9iZl9uzlQGmZkhiICMDdzz57rxNowXny4+k2
jUm+E7wgIZ+O8W1nNMHVhPJ8O3ddD3BA1umNRlf+3a5ra59oarwBGjveiNDMrwC1iE3Qw85hrasQ
bTNfBDfdWNrHjtyCZ9RU9nqUwJgdjGbYUQmM2Srg8LIfkMQxtYiw/BDt6OMkb6xk3/e2ddvZtXGn
/Kj/kslIWmsaXzbwQCdzaF9NWnEx7ImPAkUt6VcB/lqikJmWHTKRZiH3XWjNnrIwyDgk/q590Rcs
9lZ6yct0omjIZIaFxwmSFDeEEruql0+WKNqrIkQZL+wseVYCT7JeE6nuCqfbp6Nvnj7fOnVrxMcR
R8mqVYSVJ22IT3XWlJd8zGxW8bLZFyGtwiBNxNItpc1nmFReYvgqJkolzDvOIYotXDBu0lzJwgpv
kolqytDo7fg6LS09kOGG/khzHaVmtrPiQWyICMy5J0c1ngAzxnf0LujV4RhMN6QTh0e9l9lrXw1T
sNVnq/jiOrYfrVQ8enGvDJr90XMcN7e5k9tbtbiLASs4W73XYNT0hphwkOjpQoMs4/TDoNu3mfvG
2RGE4+hTfJJvplSN4zOVOLQKOpNLnD0czg0MHbnAdPwFq5NFCyIyLsi6xgMHEzOBT+h1TVzQC2y1
xpsWaI+f1PNHJ1KD9HzFay5sn9aaToLacVqoP5mK44sVJWBP6ZHk18OIAkRrbVpb/mzuWinW5Hnj
u6yp3ftMj++GNAVkRSbvkZ1ew+yrOigTzcIpGqmuvytS0uFyXosRlswaToc7GHfQRvFlVFlYHR27
cI+BHyhkpNoYdpF0/GcrCajcmqKu1lSXybhY4hDx7fGohHs0SyO4yIa0CKf2QpwHvIyYAiA3VyhR
WyvCuDx1aYdFrRnCB5JuFhfWkiCtWJCwOaRptm2acjpaul98q5px+jKEmPa60LIWuFYHFdjssfCs
LMxAL46KQ3BNEZfYotgG3lhE1ddu8EW1BOebehWF7WIaNORmcjLd04S8xDZU0Aaa1grDero26/Yl
gyXxEkF0WVPKx+eqlOJJOLG5ynxrxEGVY3tQYZm+T2O8QX2BEBxbaX0wg2GTMlrVGvV502Sp4x+p
5kt/gzUSjsdoBXsqGxghfoF6s4sysl6roRqdcz1Neeg1sjUXXFukrabQbK/1plw4EJHqlaeVyjkE
I6QHDLHDNjIEdjtahd90N11EDbegvUy8+xw4RXoHHY2wcZFP42saYTjhMK6TSUAd2mlZRVGRR/51
FwzpGvhriZUZph8OsRJbZmVvAzYm2l2T340Xp04LMtc0lrOGXwJAo9u4gb+J61fTr+TUyo1PleUN
M4wFGyvyXdAP5pXMcFmZbncRksJEl3GF4zqV4rmpycezSdOulQyzdozbaqnoJl+31gPPHfdg6r+6
fZLfpd1IGyM3AWNLMoKQ92ZOZg5MaRNdrfPt4dTMEAdU31dnPUiOHbCOd7QJ99JVJrFAcGrc5FOG
b8DpzXTnu4bCJJMn+lNlOtNt5oY1ELOoF4dokh0nRcvc+ngttryvwFkFXUCiojGq6YBVBnmKtDV7
ZFnzAdrNa5AqvgSMj3eJyJtLV7P5roKBfI7TL5TZyGSDjWMf592Qx8dCAD1D30zuQjcPDzlfytHR
8rfGLGgFZlOypj6heWKyRW8dSYGQ9pHg1k5Gj/FDtO7S2vBsX7brTunRrcIGecoNSnHhlx7Q7OjQ
9TpuunC8csms7gYgHydEhiUvZGOPEsG0SvXsCswR4LXUemYs9/tcFbVX+EOzRl52bkN/acNlmFOc
wDjqZm9DZxl80HRTuXdCuqVRMMUPRhLPGwMn5BHzbn1IHWyraY0KlPnSeichBA2BPejDFWP31oDL
qFe6r30kxuyFhhivdBurmTnMNniiJNrElJO7SfenW1EAjNbgi3uhBfW8qaylIY/HjC6wzx5ZqHO4
CM9ZL4aFctkd+z5urgQ6UrBgdyo6Qoo4XYLh88rqhHVFm5dKtwirt0KQ2wcOYbM8tNxoLSYppefG
SrX5yexgnnA7lcdAS+x1uVB+rCA2yOZo0AuW40tSQaescrrr/EcVttN1KUtj36PhUMnAyTnJLm6O
9RBopy51aJIWBtRb7Iy3sAZAa+jmt8gPqptMLx08vYrwQpsDaA+CYfR828puW9Gv/My/9FbnX4qm
a9dVJKbrJquNA28YaC/dtzU88fAoJnc8+IEbQaAQ2VNhYQyauzQ4VgKJp6Z28UzdfWpqtk8xandA
GDQWqlwUl3QMWDwEa1urVQ3Lqdm/GL2t7ePa+taFkbX1HZgUfp5Y73KC8qT03sI9R8fWy/WiuRqj
sdtztMUU4VZvQQh/QiL7fCTpqPbDNAYbkr/FWSrbv54QFNdR506bWNcKmCAa5j1pzNzjZQdWRKKW
NILOXzAKNsi8NeZXJwZXRSewONG9FneCla327EyhL+S+wxbb27anNULzirYDK86ncJ3A5nmMfLWN
K+NoVwlRI9yhL34SytSTZVkd7S7b2YbAO6Cc+bvgy13rZs5qa1j6tK6DyRN9xN7NkUGmvekRuniO
0cCnvdX27gSVQWDriyKsKmYu86NlNsEeo4S7d/IMv0Hk0M/wrVeRRfo6welyrg3Y2i4S5Nc04IF0
RvgiQTqXGL16eRPOKj84UrXroRHWJmgEipfd3ZsWyhUN+SUFZNzpdtcdoxnZKcRov62FMM9JEy5e
0dB2NrY5V7UHS2VmcdRHHmhHx2XsFHwuSJUjmYsoO/mVA5ehG7Q9wxRqHqREFCe36PEM9mX+aodo
T1U6fejZiOI6YN+dlOW51bAhoZF5tkpSTiELPaSucUQnwWxdSzvFsKRyj8L+3S4c7UHCM9nkhsDD
K9v8GOpmBw8ta/KblPY3ty62sxreCKcKjJCloYHB9KMBaFGujMNouAjo0fCACAJGpEVpSXDpbbqe
s0KZjuwiDSfmYIHhjGNle2MTDTeouKPHqcDJV65u4QBsqcMeU0ObTOY0tM6pKHPtwvYT0KhqRcrp
IaoD0xugwNwbTWEvDmPMTnjMKOo+dDIX7dqsmIyxzauBYkTVNeGCkvTFtLZVH3rGHIvzKDDRj4Zx
yFp6DSiC4yHs9PIyDfc0kqN1rc2osCH+kCBt4y/gEduNdMLxkS2y+grlBESXbNN1YY7MKgjKFEOf
FiUHo/OrM8xi60FhlSVLB0f0TGgsX3Hg9vc4h95VU7p4jKkwQj59evwcvG5bLBqnfmj9i5undniK
0XMeKlly/u+zniI1Ne3E2dZV+/BZ2ZUL9h8XUFTC1eoyYuaIIQP2uapyd2nWYBHqIPXW1J5zeE2e
/zsvCCo9MIup3kEd14+1a8e7JKkb/Lh5/SLt+gVMlXSYEZFVHBWn7NacVfjQaC6XL2eLVfL/r3ry
Ux/+vxEpm66xbS+DVP7fKsuvQ//+rbT86y//IbaY/6AnSgN6UVkklAsDreMPrQW8ooPMApSRExMm
/kUF+b+MD+0fiCimZdvInDBAzB+kFucfFrQMx+Y36by76r80Hkb/OWWNCIQCZBpMhgGYhX9O/dKx
tbtQGzAufsgp2QK4V2C/ohPLKDZagVUWeEmIolqAfSvat0CwzIQFLZSsjV8rW/ieM9TOWkNm9374
NP+il0yk6CcNaLkydxGZQJ04limVtSTvf0jWy7HQWohS8SqutPESWlO0c31yMnlQGXjSaEg6Oh0y
YeblNjFC8+DTY7ipk7qC/0BHWJocezlc5MeKkPKmxuwLQ7Evv3CuhfE1jc46nKpoN5XpV1ob2cZB
CIHns3SPZYukDh7hqZjizJvrDuUk4uNoSBLiFc8wDy3vG2T03edrjbp7XfuQfpM6/nCTdpurisuQ
dOSiqS8Jg5T0mKBkrLJJ17dBMT4Je3pCDblmt2iBNja4bFzc7cbEijOGxt5iNA+eUEJOvg0IjdXE
WBU2Zh1z7K67UluRz85Xczuck0hthy53PS6O0GkUf1U5ow7CgAvOU/UU5xzBNIPEXF4Qmh5HEmz4
Brc5ifPUJR3P3kUyQ2Q3BDDX2Jj9NXNpJCBBluBs7txDVvbdqq+Cj4m0NxH4jLkIXV2sLY13tLwJ
Cx2H7kwLpdwMegQ7TfPsOSW34V4CGges6P4WrbjY6H73mgcYirt6vjCfY6fC6Qb82a0fDGTHCsJe
2ONv6XYNJCHthzKZMPnaIJA5+Lu72p3e56GeGKCgXmbDpXju5OC1pCj8nvb1WCVPnBEfcrc/Myhm
28uivGKsgL8K/Z7Ao+oBgtgkWaRLe2Lmq5cF/VmSnon/igyRemPAl4bLajGw1gtfgnKudjsyiqMk
tdVKz3SHE02mbMPD3nidYJiPbvs3wdI9a0eUAdsFyLdYzbLhRWDCXNWBrFcdIgRjYeI324ZomTb6
nlkq2Aej0ljpbvwBm5KfTQQbEzcFVRtwh3eSmTaaSV62NuOvoUoYekS6sKFhgeQXvoBj3hv60v3V
+VIbneE3MR7nC10vrPGEMSYdBrooKG4+E4nVwNEI5NwHfZ4PTXBfofHzf4QzHUFe1vgeHYhw1niq
ShOZAI8dVnhtw81v71prftVSozmFopi3sUveNHLHJejqRPUVp8vw2qiK6DFNkn4bNY16pvKrrjSr
Kk+l7D5k1rg0TvwrDYADAdxMmeNbFabp0++Xjp/F438uHIv7SDqGwzL6C7JCN4ZajwYWDgIXH1ok
ds7MuTeyxSXL6ts4rG/iJtxNNQTX37+wviAp/m1/sVG+6UcqjkE6/gLMTb8spjoJSXq9zbsRN3ck
AQ5Mbrku5madZ9SxZRPtDFwrQ6Rdepnvk0biZHY4MDX4P1eGyN5+fzk/o0n+fDWLO+qHBdSkRdoC
xHmXiXpp8+wWkyMNR1gMHV7v37/Ur7vI5xu3FjeXtIHnSqxnP74UsSRsO2X1nifya8PAKy9J62ij
+WRNfv9CPzu6/nhPli0VzQesaKb2C0HJB43Xgkh812NSwNLJ4KCGksEBxkNiIy8Xc0J3av4bGMlf
fZA/vuiCL/7hg0wpOmp62u/M/+IJ7skixc61M9jvYCCuf//+INj8+R4ydIe9z1S6tnyiP79YEWoN
DbHmnQJvWhNNuZ7m+ZsjrGuBKeEkq/wGyRsTVIFpxBp3jm5/sAoALHeO5mSAK0f1T+VNm+irNJL7
UVVHZIR7ThnrqsxZpcH6veoD/ulk7s+QA+jKtvm0y6Q8zlF8V7l2tP/cIiHV0u7vMcAl1nzV0kze
mNa0rjqLGVGksDkxT68wKt5i4rVUbEa2cvuJJE6AgRW956MYiRB/9pEplgdeHvnRaLLvWTlcs7LN
sEmyzehbkCZgMvV5dZ/hAF6lvUNTVyR3QyYML8/kG4H7DyY3gIWvsIdPKR7pOaJ3W0VvQE4eOSmc
Ki1G5KFHtAYl3a5ni0lkYUjVI5QmNxWt83UZMvKsMNxy26XNrim7+7iABWKh3wxWvcXCmBIN9MVG
n0wIDnp8nmv9NR0qbcOWMmyrcjRQo6phPZuOTaOjKOlSI0FBwrj0s/7yuQiLZXUnO8um0FIi531n
rfWyoMGvzdQSrfGMJZ+sEbTDNbPDbBo9RMwQWWdcFRw9fC0b1mFHqx/zZb+J+vwO+r5cgSp2vNyi
60Bg6Tlx6wcy6/EauQF9YT4pbDzgdVnes4lMDVLKvCq0+SWJ1pUGnCVwbui5H7iapf8QPfcOjqQ5
Z4aC3WQ3oevsAiLpvFoASJFxAZShzTLAC19cuE0UXt6ljO7EhZtta2X1ZRD29eDCBwmIj0nmBs5O
sZsicdFTDjZD/pFP3cFP1N60tKuJ/EtXp18D2T9H0GSCXgWrmqRr003fnIqfoobnsXBADOvpcfR9
nJeFWLZLPhu3d99Ubn0F5OLx5q5bYcxsZ83OceYdM6O2fW9eD+l0J+PpVHWkp80sf87q7wZBH2PK
TmNeXQWKDyQezWbrI1KvuqlIobhUdwkgzhXIl2hXmG29oardQAM5jCOWP3C8W79nIEcgnXmPMQ0h
rdbvRNi/1k3+UBOvMKDgKlVsWa3GVeonsJ/jU6nsSzham9bOHwySRyb++xXDCTm0gLvQZUnnxT9L
SXyp0K0DMNiXSSUfWR7KVc3oh0h7a/2GaBKwNQaceKrTHmgSbmun+pY07k1pINqRFNRWPsObMMqI
ez/sHuyJ+RsLakJvOTUyRkDtCxMuVx4bkyfFOP9RHVK0/TW2/RMA+Mt252hoNxp8QhBRvw4DiNI8
iTqVvPeRkxzAA/cglhxq1KWpyL97fzsa433dqke46W/YeCJSjKmxJiFUbhU57ZPm9yUjagIAbBHg
S9fpPhgY+Fak81MKpeZr24YQiTEm4ME14zXKLfJC0+/aUXj6ZN+2RAdIuqZne1gQCo0K4X/0D43F
ubQ3iGAjD9vyuYC1cqNDQN9POX9ulM20BnyUr5zMbj0yXk+VPj7kYj51LVV7nEnOS/4QXYky5u9U
ap+bTMyDFXgOS/E9BqhZxRQGZsWjFpCqXZXIm6u5J3cU9MF1MGl7R+97kobEZ4zK4yBwUGGxT5fT
bKI2WCAJJfYoueXwPbUUCbqLxQg81mRrVXNc9wdxDnqY1yZ4QC0KKSrMazcXT6lKL3HI0lHNN+3Y
jJfMSb/29jLf/V/F7F+UX3/e8kydIe4UpxykHFNbNvwftryQA2RqxPH3SZIwDAgTLjj8M+3LikLQ
df5mg/3z8YECz9Ep9ZZJxsAZf361pNLtmcjCO77F+7IZwPAW8cvszpffv6m/OJ+ZkrOZs1S9LDvy
l43cj4N6wDD37pfWzghIvsDxgAwTpbQapnstK+8dTby7fX1Ayn6wgvEhRYzV5+KVtLf+N0eZX4+p
DCHhYnjLgAqpvz/N6z98xFkaF7VS/XveVTipZvNb4Sew1rNH50Iac1ilQ1DTAZ7Ov/8Q/vxZO9IC
j469A0sIm8bPn7VirgLAqY7hibCcVkKTIBEZdOoNDhmY378UOgI/7OcVAqcthQZmL8dZQG4/v1g/
yVnEJg1ZJLXUg/AJnkuPS48+sbnrA2TxkKbLVdNa3+GhVavZThhGQwnmsXAxI5VpQ0yvSqcNntmP
zra/MMpSULuzMXJI9CloQWOPaVis2a/8J73uhzPAhhucywmpN5xMgVWcZ1lEO32pVBoshtcEUtQ+
leRrTWn0VyPI/g0u57VT8aQmqTQPhOFeMcf4NBI4FzBMYWWHA49yG4uDcscG4XeIdhz1yxsoKaRF
B2kg1xFrQ17P5gNtRGuX+8y20ZAaArJonjQJ0RWmn8GjZJgSJZN5QAwqb/KM+o9Ertr7BV+4UwVr
Zl+MtwgZASK3uqL1r3+KFFWFFZPXw5hl6Y+Y3/vz57KjayxnqitzaB/5NsNHuC5U3tDaFsGmc+2z
y3QaumO12htZhZIxd1/r2s83Y+CfGaBkecwiszdRBDKxiTGzQ/yzur3T0HomfWRe8NJnt45P+d3j
B6D+r7XjNEL3zEr87zEoRlLu+FTaDrk9RHpwe5JEhYvwIWq+IN9aMuIuPmvmW6xqQiN7TiruVVej
aeQssR7eD3ArrkVuOESnsF0/3hitY27HYoHnxKzSfpFMa1cVdODNhtAieIAr2yjLG4sulKcxGJRN
myvpW+ZtlQxpYjZGWcLOATszcJnRAtnJmcHk2TFjD7OprW9Tq953PdPKWqgAuh0zZmvwt1FE/77P
0ZsykG2rsErvxibm6Ch6F/9xDlhL6+4afhbW1MBYOyORhtCAEteD8w7CWnpCJl/7HjQHOTv4RzrX
/6n+hHNKBc/YqB2Uv8wLB6c7x436jjbQwXZr0lVtOKCF/AJNK0XE+ryW2fSTJxrD2UeMJ3o3o7of
NWWNm8mFIoP0Y/zxEqbBlmjZvOseQMnad6Nxa7bud2B1X01IaLs8b7aJlbaPWPFglzD6GNr/+wg9
AHwlis/ntec2KkhnoLTR8sWEHX6YquFzdWs6zAM+4M+vAwQxOcg4UMuYZdwMOoG6oBjehrq2vZh8
mhcuEl3Xd2uaO8XJTPhYHF/utUDN3qAYaFdWLk930N4qlgnSyxkSUcXLhjVn6rnAx1gyeQTLaOBZ
TqE8POZXpimngxK6sQkN7TADK1iZhqjuMgWXTS98gjTShhYQrbF40owPwpNjJphtGbWa9iGhXdwR
MaDSvp3JCloM452Ya6lPIUgexdfUsRZu3PGmn2Ycvmrwmpq/ak84znCSFAe34V4yfDvbSA7pHk50
uE6LsDcXi3hE0/GUqwWDA3od/wUuhIpPwEJ3Y7Azt9VyU+hxUS38AF4SfhvHDXXXO8UHM2m+DQO4
H/LuCHI1Y4OB/PFDmURxKG2y/FHpfsOCqzPcmP4qM1Q8Ie7sxjqkOWbdKMYlH6U8P/XEFxYRXw9U
CuBskFd+mZ+zaroeEvQGIIzcmQiT0FCqFzuHMg48AmUw5grB3bAgN6cRtyYOYUAQWJYYb62mOwxN
86rX451T9nKPmabeOYa/N0ci8SngmoUR6m7mOP6ISXYcQ0j1+3rEDMxzfl+KcJtNI3H1+Llq068N
Ha21ZtC2FWX+PXG0j6wOL1NZ3dA2u00bwAdiwSVkI8SumeKmG2hOlTnLtg5GgOEw6Lmf/2kamKZF
BnlDMfetBssvmkSujFmtGY2xLkQOUEYwabzOMq+lc4k5GSBW7Bs22MP+DpATSd5cUjXhvl0FPkFX
kjbsWfWLkIyV83tjA4rhwmQezDjTKODjuHIdR6Rk3HKCzu8u50i/47AdF8zv1kOdkc92Vm5bkwXX
1fAVDFhgdiaOgE3J9I+HgLuaCW5ik4HX2RAS2cqepbIr++KQYDFH/0tuc8O90/ysvBlcHtEkh38T
wqyvB6YHO23z6oKl2cT5lHmVye0KR+V67qM3vxmHTdgOTBtiQOAhDbUnJ0ZXFLiYNsKgjkxh527r
1PaZHguSy9DYZ6lSHCpVzr8EZQinD+D57HfmLSdnxzbVvmUk+g7DF3JAz2eo0mCDfx9BIeLUi3ug
ptpAWP1c8UJ8S7vebKwbjUPIvrNY9n5/tvhT4wJftsGMNMuEGc7B8deoWRaCRO3nkjRbkl98ZV0z
etCDhPrInJmjpexjwwzOeDH7MTTl3NnmbkbvqJx2rTliXDkiv//9Ff35yLxcEDhgbVEegTj8fNaR
5qAFkckFldK4sbLsyIjh63kymEpY/o1KtLSifj1XIeu6xColgTvzc4jVD2fHyJqaxHUJoDcYS33h
voBtfIksa2cnDPkAODFo2Eb95LbXtcfMsbaDhKtDKIj2LzyT/sz5ALAIgJuh89zUvTbkG1MQnkbL
x3DVPVaBpBGfjd/crvxCIAuzvY1bw9kHqDaaUy7F64r9ak+C5RaUNOSu9KZILpo/IstoNa4K97HB
B8RTa9xpTctxrVwnjFInkw+QIBqxQc5jIeF79BuQWqTq2tQrIPZS8xvYKKZlPSeeFmQ1xgA32Y56
t7NVAUYiwJUQuEedZa2M+j+Ox/+TDeMcL2xuoH+Vf3+eJsdQ4rT73/+LGvHfbcx//q0/mpgGTUxJ
feZojB7QqfT/ZRjXmBEnKRX5R0nb5a7kjM/BtQ3/8z9M+Q+HYQnAqv/ZqeS3/mkYN5fsMIOAqTCp
L7mH/0tBX/1X0VSz+BGsQsgsxPQdY3k2f3gewkGfJpPJr2BtyQG1MiZoThbpgCeXMSNRrWAcJD1G
7d7t962Jp24SzPf5mzXJsX8trjRbd8hyOja/RdHzq3hrabVNsnL+Xsehfg8ZH3uapgNYsBBI8XKS
b5lr87kr0K2HFt2tLdNuXQL8OeGi3NaGOFjWmAL0CG/iVv/iSzQ1u63pko11f+W3M5qPKgBO5x0z
nbAjPyUV5Jk6KZdVvI/Du2Ac7WvHSFsECJLPwnHbDTmT8ozZBztObdVvVmpXt0WSVNd2UfbfG7+Z
tyAOx48UidnLzTBMIanCD8lCWdkbkxLuCzr2ITNlep0wUG4fhT0bkN1ghm3d1dDP6go/cViCXS7Q
6Ijrre26zL9ZWqa20TJRHPNP/zCg3nmiq/1vqsuKDTbpYd07lQLsmpI0scZizTw7uG4xox/ygF9c
LTfO5KZzEIpQQRGru6MVFinT5FLtmYQzwLM5rC/RZLrXDJ3XNo3PbHl4prT+Zj2m52igFMnS+qIs
DKkVw1o2Rsa8Hq0V5pE+2iBWArlp2+f5vE2J5eQEem3rqqr9dO3WBrNXVC83ZafztYyQObE8wpyI
cYmNZVWwRwYhY2KL6Zs1LFi93G6vkxEr7BBIckMxYkZHUNGLiu6hGbWv7Fr+nQ6U19My855pZa+D
iu7DUT1VpH+1nmwR6iUsPH/4NpZQc7qye4iKQD34PXypPgvvgTorzwBpfUxEqm5wkdOELSyxrYOR
EXqwJIE3Ya2j41Tg+eytq3wZFdhkunkgWUcfiOJwmMH/xK7e7gE9qVuELDh0WpxtDGUl23mEXmP7
GQBvl56vp9XyCW5fuHbzxjwEKVc5adZ4i9KyZjiIYKZe3t9TWnBsjM8CgzCzqSPmQ3VeN8ffMco+
jWbpbkxl7YGPIedZxJKg2FxlAS14PYH+x6SAm4hA9a6CdIbjKP6Stb57JhqJvSynKRuX1PO2Ts5b
b+I7/NJLutQ6C9lQf3RQPRppHZBUsldNKxbP+CBpWDjNO5S7LFzDul6GE5L+3wYzB3jwJHZ60uPk
Tgj6H0XdLLgpwxF7UdhvqrWjbU8gH+KrTSoy1vy9mPKT0Rnf0wy/DRkVaHl22R7cqv2Qfq59hJr6
EoeWvEn9zuQAx6BCwAk8TRWwvaNZOf527o2TGOyxX8zoNXTn2j0jMnb3fQiYsJPiONrjukqwLzPK
Cjt7RiZ0iOhtWEbdL50awlRZhHJa20/OCMEFfkzKIMMCVGXkFo8kENSNTBYu2Owqr5S0rHy30onK
dNm0m4iBDk6Y3DmB3q070XzBCRh6PSEW32DftRrqE6mlH51Zjwe9sY+C/OBV0SEh2xPuD3+ZddDG
3FiNNUNlwRymMi2+4+Hddabrokvzv+LaoBwco/seRBmm7Ljaxx0oy0xN4Zquv7H+vERjQsgeYeWt
ynqK14Mx3Lp6QaUd5dtegDfqsobiy8oAIUty4L5Pt8cEDrd3BIjqIofcNJGkx3VAShmH8SF2+RJT
WuRFOx3Ljol5rUY5zj1HcZtpKLYUHFT1N3ZTvlpxUuItiN+jrFhuVGeE6QQfzeyKcR0n2j5LjCt4
1zazP45VVh1dp+TzDt8cKz20WXATONnRjkrwiCA+fVPbzQmLD+7tlW73D0BQSX2wtFavFaZrSrP2
+5wwpStvtOhbPdsOEZaq2RuDha/XbVrS5NbLXOaRBzX3oZzV9UzRxzquHyj6GEFCm4I7TcuJbxYf
LoNdgNBoar1YSdxAQsJvGvjhlV5uwsrZWDMubhs2HkWK0W0A9l5zbGNBN9GpklpMJznNTKUX0FoY
/6Vfsnym1T/qwcZSaboRYEi9WERPuq0kHvuMq5ydS57DVxuD4Sny/ZeoHWmtM6FhTfw1paulP4WZ
4PynMhdOZv2EfST14lbNOFnFqSGNvFAG/eV5bgsnXlsVDS1F08KEfk9zkgD6EnCkZ7HN0SfDkMqv
nlvWU93c05l6bG1kkVCqRztKD0PQHNJ4YmB8VTBy3KUvqB9Urj0avk+3Ct1OM+/ogt8jmTGKLb5g
xF4ZSXFdzkzg1oJN7g7P3YyKIBR+DSdknjTICdEe6JNf9bMFCps0uJmcLRz+not3GjVjmzNcINe6
fQYbn/zYs3IYJG0q4c19vW2zjFEDxRXAiQ3OHSBxclyR0VjjOH2FpXTRu44nmYMzGLdy007zCqP0
SY4cnRMCuMfWJYFe+8VBT+WjGIsz9ioSWj3tQ9hjKetg/9ovGMeKQ3c6hqbnRB0zy3RylBGUB6aw
SssLlX2rL8mQ+hVs13qoqrPru4XnjKAokhIHin2WDKTxJhF+izjje37GMjOqia+RhwNkPM7lDJVP
I61GlGuj4oxHs2LepamBASCHZK5qOQebNuvCrZGTXhBCAxAeiOBs1UP31ul+89TCqzz4M3Rnp6RK
3ywj2va0+rRjxB+6D82ieu/SIbqtTGB9rBp5uplSE+Isg9avVGq3N5Y+kMGAwGa+lXKon4oYtzM5
nm+aZoq9NNhpAeTVm76R6gBcq/GsvMT8qcyi2Os6OeG2++rmxfzNTZL2nQY6Vh0CJCd9Fv5VNQ9M
1C1ZUVdhp+wv+JxBmPsTy2Ge83NWIfIsXTRfex57FlKVJnITz/H0ZSwdDFy2lj+6vZMwkWVw5ZUc
MNczZLw9hb1OPCIPy/JuEoguMJyRjHDAYMjmh2x5wLqt5pfuodR1/GFhMu9rC6RVTVjjCgPtgPSq
ata42DH2ARWxvQJIUqz00cnQhdW9sIF+hkbyXcbafO+CgMbgX4sLU1G7Z4PlDYfYrBOtsuxk/3/I
O5Pk2JEsy24lFpBwQatQDJPWG419+zmBsEXfNwpgW7WE2lgdNS+P8HDJTJGYpEhKTmLwPZyfTsKg
T++799xJmVKCAU4a0FwVEXKcvjYd7En8ODPA71B8SJPnQVvfp20X83gBml20EzwC5Lieid7cwXh0
toOx0FBCQm1tV3kQ0UQQ54cMv5cG7/c0VvIij/hU45yqCfqv8e9n24zvi3f/PHq3wiqqkyVr+Y5b
fHhkqdfAFe+8I4P62zSZV52RGzzsmV1vIoJT90CrcRnZlfdN7w/xzXLMbxb2Jic8YdmGxvOZS2z/
lPl9eo0k8WOmqn0hzTK9L5bd84FILeptWbF3d8qpu2JLeFlsk9hxj8PSRoe+GaD6zMR1WIsPvyay
CRfJmIQHToPx2CV9d6jC8jVD1mBZLNiAx8v80vYUJKH0lhtb4e8lyVqf0ikv9nncYcXNZfexpG7x
Db0dJmqWRBfNZNPj0fknk53IUzvTXzhFbEPRn0kNNCpNttYgzcMU+5CzHTEdQWkSYYqIuAweH/3e
DL6iqQL8mFAP2FY8/C4MmaVPp+dxztLXIKd8goQa14SF8FNLEeVtms+7KQOVazfUTI9J9FT2CmPE
kph7YrPTpd8xBZOpz196ayK/5WBHimaKVnlTrayO4t8qsLpj14f1MfPTe0NXFtZdab5YvR+e0g6R
BfgoccAu6OaLspDhqcT7sVdpGnw2xMU3+CF1zpZcwVVTevgLDMiTV6EDz3jhizymC8Qie5Ak0vNh
5JPBU0WPLvNIIe7cKHzu25H+zjCg95rB76GD9CDpkbiolxKlE4u3VdiPNUsK3r3OuG6hVxo2NPOJ
w6rzZ/examGURlomhPHPoQV5IX3GfJnesYf/CCUWbnJ6y2XGMvQh8+r+IR1UyT0mk6/F5MMoxEqq
t068C7ljhr7l/OKaxexB5L7mNzOLUxtTpDNI5znINbuk97I3WmvcgzXMPv4BfoMr5p70IyhK5FFv
kRdEtr4lIIPVOPb954LO+eOR2tiSJOPVETZTcAtwHU0c69/W6KlHSIbOeMeHem/MdA2PYgppeIMe
5Fd0ocT+LD78JcA1UaqZ6+fgd9527BX0G24Um0TQjmYE/JGE4YNmvfCRtAbesLU3b5vY+mU1AuoI
mdB7rIxUYIh29C7G0HloyAd9jnOUb9uA+SGxbejj/FhIRJW7qFQkuFpxp2at0fLk4cDtD5j0gfYm
CwOtag7zTBFF5w7PVNW428JcOh0+bHeqRSaH4vVWM02vPD8P1gWyzyGhuO67HWwWf+w6fN6wHF7W
O8uciH4kdRnTtovJBRfgOiMd8ZEUwQhDwI02yg9/XFJMEFpCcYca/Ogk9rx33Ow6lILXcwrhqetU
d5hDp9sBw1C/uLjTjYMxD1+s020d4V3SeWF82DbPf0R+Alg0Mycls/wi4v6ZvWa+czQFR2keTuBi
NiByPWyRsVuadLgB5JqiU2qeTlov+S4bYOw4mrZjNpXapprA0xXdt6uZPMOZznMG9SRnaI/pwO9h
fHEfjQqmD62kjExeTZoJvQ5l28jVfas5QDRBgwSSmg70JxHoP/AA/NVrx5Lck5RMOgFhfOrGtNvx
T6LK0i6TF7ia+28Hj05Jq0Mhj8VrTKZl8Z3roVp+nf/C/83aG3IQotd/Lr39e/se/d//U/5ZePv9
X/lddzN/Q7rD5WiaCGlYHpG5/kgPGPZvzN0AFyREBrpCSSz8WXij35KwgekhcFhC793/IDUEEPZ8
rdZh1UShMsW/QmqQf5HhPcGy1ocKYfKlPEurg//8kGTz4o1FlX/PQpEB4HS2vxGBnzJNzyE7TmkB
QB2X5ee+LlsPIGefPtQF7dTEkq5raEereBSISaYLoidTS7jm8GuuJjduViYEpg92XmJVa7xP5sXp
NV5o6yYuF3EwLZAG60H03HI1HAh1puWLyX2ZMCwCc3Hvo8T7lryzVmROSX4rOcJx9bzL2XNtXDUg
iEKzjlaKopVNKUR/50unODYxn7yoq0pK7jTPKNBko45X1abTtCPYgO4+G9OdUUNCMvwJgo9PkgCo
XJLS/WCY1ctsjvl9rHO3sNjJTmi6UjGGM0mJlK0e6CWwT+/jEnO1NJNfHdiaVJQH2qahxjup/cmJ
f2l0kJyihFoe0E5QdyRVRdCeCrBPfa/uMzBQEnjGtgz65SrrvXLNe5UUvDHuYFK3B6EpUkLzpPJU
0foTUeWezVOzHzpIF2HpdNeAm4o1CkW8ysNgvoioVKaOHn2xKf0X6Q8UVzDHr4kec6UNs11Zz3Cu
bI28Ghaascnm5ndmUSzrFDmtXwZxTRIxPNYamzVz+YV00W9dU++dlr5fixarKhHoD8HFzTYA2vC7
SveZR5TBKtkqRdkVLyOsqgPHTuG22dukKV6p5nnV8MZPrCefB8elHz1yTJQaeTXPdnpVpSaF0JoN
FlPoDcDMKJBd89j7anyG4KYK4ndPk8X6sN+x20ee0dQxzMMAyHAZqm+SAsixM8DVJMSpoWFlqcaW
idoHb61RZhXBuGozo+0ec406G5zCfitxzG8pC11FlJDv+LeeNTsIDwFnRUS/LuIj58eQTZwkHClk
r7utDPGCjFXEUYwEcZqLZWHEJ9WH+7A7EI4nDa9PKUqQruEpzjC9ssdwqX0YPxxqwBnYeqmQi2mQ
qyMJMeuD7j0azenX/nAM2q5ZVNGboQ/KgBOTXGrO4pNDdKy8n1Qfq3iSmoPQR60FvWol6vnNFYhO
vT6Qh0JgcTF7d9tzWi/62J5rtzlQlgrlHOpd5Lr9AaQaoykkg1wf/K41HVqnK3elsAB7+e2K/pIJ
3ghp9KYxw0+0ynLtcnwayBQQftFXk3tTTxtCOb8EsKPt0Hv9TTMZ0dqBC894kvlbgeviotezC9ch
CHGV4W7RAfmn8jzmJHriGVMVvKrAm25S26ZTyIVRaMKYTPWsZPgoa3HFyEG9N4EWUwa3tvIYr6zC
CreETJofpacv6hoSIGfNp9MnoOBVUh0GbjMf2e+Dm57hZF5ywWSswx3HgDeX2XVATGdMhuSA/6mB
I82PmgBq9hCk4VOZtwKiMu+uJs5AoZj5pm0LizzAjD8ytBtC/mPxgEtBPIQQQB9kFt+GdvrhEiy8
Q45Pn2tfMqwa4XluVcOu1bOsPbCIdszm2WtcWi+Zd/0qpyYnsm5SPQvjpqXenotYRwC80PMy5bzx
dtAzNDHMF9DU9l01N2i8bUztfETpUjF0yM8N71pZCvoZBA95P3w16YT6XgJjuyK8QHuWEH5Pxz2D
fdpF9r7lqnZymF6QfNtOkBanItcr+MMALusLTWR8F0F+b8a8c8AKdEdbXyg6fbVgrr9W1fwxNZZ1
YdlD/iL1TYSWU0rMTW4nlb6nxNkYPTkWBIXE5hacKf9e6LtNEnKzU912pMZnpfTlx9TXINr6CvL2
XX1tWqPa2l3/YeWwEkZ9iYr1dQow3nzs61QduHCYh0TWyba2m/o2sKCIsuDXtfK9EcH9pvNOX9kC
fXmDpRivTX2hK7jZFec7Xqave7SX1idHXwEjh8ugCAR4bhwa3DsnaVH3FjIaAnZbjgC8eexUW2BR
kjHaCAF0XtF1Ef1Ui98+RLOHMS+JxgnZwGl1JZ1a+ovaL+Kbyih4BqoRagZaTrv1oq7AK++KpSHl
TrhvNcTztTV5+R76ehTzF3TDp4zzBDY4Cu0r3ZjcUzjMwvdqCZy9VZT221C0oC5dw28+nDAfHkMj
FD8O4COOx9T8RRO3xaUpcbk44nnI1ir3vIfZHaJdrUpjH8DG21QRrc9LnmeHvuVK41foXfhYw321
IGkVKvMhELrR0V3cdJ962LDs3vfvAmiIlO8o+G8BSZ137lftFsGz/K6wTtwkoxc+gyNApVKQgVLh
Ojc2N7034s7DNgu1tNWXQEbnOdlOHsG9dArxM7F8z2mlvO47ZZ6QzwVrs9FczyAytrMYxqOXdnST
RTrO7fUB12ynXfsL1E5lJnJLwD3+HLBhbil7gGsnoZcYcqouJWfvZsS5vBnyHADC3BXhRnlNChkt
rACldG1cHao2KA8CLuzK5Jm5ThCY4Y9Yv2RYihtl5x0MDanuBz/J5GqMteLMM1jyiRk88E3Qw6Fr
dk9m1ENBLFrrNVEFz3rD650KZtzduPfoamIdFuiLCrrKaGsW6Cj6FyqzaHQt6efYzglvOrtpBHnj
9A1u/nddRv1HBbx8n3tdujdKo0T6bprrOIXIi/m2uFyM8WQGRX5vuT27UY7B6Gg6CgBgZ/iaiGIe
aqlw/2CxI3AmaDEaE45LgHltYqxaI5DLClwn8MdOKfdJ6PkBMy2/moGNW2111Y/jJDmNEewHNpE/
WDDsPGAILdT9KmtyQm1pvBzdMRI8nqPzi4RD+jooi73SmB59XtjHoQesyK/gIRLDqeOZXSWomKB1
8qpvVx4AmLucs3g9xhQa8uHNN/FA8WHZkjJorVLczjGMsJZ6NzxyLn9NEvxkqYSfh8f3cwAlA8vJ
NKcTKm1/kxRNOl7wVduTO2bVzkxb74Cy5e0GSISPmcXndSlcyvw4yi9YJEUri9YPBJN+vo/MJXov
JjdcRyLN1wIrGWTVkOYHNTTNc6uWzWTmHi9nzECu2WeXeU+tGeWWJWKs8j+rVE4PVCJ41+GSQS2O
F2hMkV/INzNKr7AyO4Rqem+bo/BelAzBl9CTGmp0YvrQija4sMfRPiG83WHu9J6EgcJFqWO3qy1f
PikVVBs2kbcdHNbNjCi3T1zP4SccXAn4y0B3o4lmkMm5SUAWPCUEX6+rmtAdvK/Q32fJuDzAC87e
yNhQMCi91oJ6FcV8/AvjxPRhuOtMindj9Ipv2FrTI40r+Ul1NoRE1gjFzhx+8jHkX2aDb+GhG43g
vQ1YS6ywKpbHGY4udcJKbB2fH6plFBA6AP7keKo6C1M6a/HwgS6h8jgQJ4DRgrNvTtPohnmtOqUg
C8ne0oezZsE1/BprIQ8LLiWWHIqHAXg3v8rkFLXS3JXm4l6mueezeTaMt6zPmhugGsVDM2t9hN/s
hqNYfRdNx8wj474+JVXPJ0ECgfiAvpwc8kZVa7PmlAYZNIDfiKl5aK2mu3Ur4aygaP34Y6FAbiXh
JspajKdRYW6ctPExDs9Yx4ARSaqBY7p87bSbt1ibl5rSIgFsp5YS5lcZFdmPQffWakS5JSVTwSwR
SX8ASNnsiAy8lr0I2HMiPl0QkGUWdnwuCcEE2ZTmQ7BFI+bLaN3bI2AIs47vfWn+6vHOHgJzJiE1
CL/67JwRhmc8sw5v/DTc+H1pXzkebCKz83bCj4YTPKsde9Y3Nc7xwdLMmJKD9mLMuvTGMpf5si6l
s0VX89dVH8XrUq9W+bwMT5SD3YJkE1c1lW6IRFolOmPSz8T0GnY6pFmuCJZxVZ+56qO/xN/WhKmh
19j1Cf66pQCx9xrJHp/p7DhHnQshC2CWJb1tHZjPR9+Om5c8GHeYKkG8O05z7EPhs8NInJPNivJU
F+9CQ1Od0HrwfWpfJw1UzU2z1fbBq7ylt6G2f6gdH5hJWYlx/CGi8TwsoHK4Q3BfGWfrFFcQcCtN
cPU1y3VWJmE0hnmO8cEkRDzRLiOXgUJdOLC4Iqyd6q1qRzC92fKad4+Uabpba65vpcMAaRslUVyN
ljV8GLMaNhun3r0bjN7q36IhMbRlhOhzU3MHYPV/MA2pNAku8YiTaeui39G8VOFeKKaYhiny7duq
A3v0b2FWh05OUwaKbRcHaxCzRrOyQqPa2xrpQihcPfmlNV32SZPvGhfO6X+vyvM/FSphmUT0XBuB
5D+Xg1bvXQ917d04vf/t6r38jN//SRn6+1f4XR0yzN80PkLLQwhAnqO9Vn+Xh7zfXDYOJpi9wDEp
W5B4lf7wZVmaSUEnAsEevIqm8yd5SP5GoZC2awlUIpdgyr8iDyEA/XMCxCM2y1fx0E1sTJokFv/i
iqx6LsjRbH2FQjr3jd5OJDmtoUg9ZMSwzBq8YRSXk52KnWpTNHgILkhwqNcMEOGlW0BgvihieqZX
dgIZZUUskQ/UKFiwGlwb3h3Ckc8cNcE24QgudrGjMZd5VIVHFDUiWM6CdTzOK1qL+wjAutmPIfQC
iN6Wg9CBswGwjZ+ZIGvVeFKOrC8Gm/HBWehA8+Mb/BgjrnI/ILspH4kyRFs7TLAHBLTUMMFRNhVD
DSrHIxU0QLuKOKKGkV0OJ8PMhWJHe054MxhRThVYWYUbkKaxno/no2e66Y89OMQ5XQchI8FjPMz9
cud79Xy39PGD9GZzS2ORL9bs0DhsIBR1uxGzxHshk77fwLyAndm4NVkNgXtmWfGGtWi3zItJ7wmT
1L80RRreYQYrdxX30dsmmjHBUgHGnp2VGhrMrPnCLta5Df3xy9Ws6cNCwSGOATXcwlNO7qIRSrHQ
vGK3Q8oONcNYjAzcUQ/3UGrC8ZCwmt9hXQF8XJ0hyHxzAJELv+zugHQ0O9Di2dG26C8wK/reV83I
DgT4AF1ylcyyy4aJEREdRDeyCVIRaHajC2BBQGcG/Cp39hnZLJxRXNEaBcg5tWA6d5ruHOeNboaX
XzjIID9rBnSoadCq1HyDdFQbJ2iOTlTcEe/0bjpp90dergMkq+KF5M6MRj/c9UWbbHk0MQm3WGJ8
l+IqkBO8ZT01XlK8i2/fJz5qNu28Y7wmci7Lhf0pTquDvov99HAJxIWNeL/Js6C7bLtmqPmv0ZBs
QR8En4WWNj1WOcdcI7VzDddm59nvAh9Nf+VwET/JJrNO0RI9WbXhr3R/YJPr4IiGdvfpiNPDOrO8
M431DmfVXlfmNBCXqpiJlkg51875dNPnHL3Z/oXQbScqhYxPN8RHQL3pge7P9jWpO+9K1dS+ludm
EEuXhLBHme9cXRwCQSQ44u7QuzldLJJF0QAg374f6RyJz+0jXYgDas4aWqinnp7IIpa3suD0oay+
+gzPEwUZmHCXxJwuFF6do6gzYp0eRcLzVOLqAQVwDrNK1Omf+FQxwbA9f630UNPF9HpBiop3KbZk
lk78D+0W2U9znojm83Q0nyelwZvnrcwYACw9SPk8xFxIk5D5CsL/JmKPF1+EkOk3Ug9isM9+XBC7
kDMY0mQzM68VenQzR2fYeRzRBJsY7Hw94sXnaS+bbXjYbY7nTOpxMLEgxSQNwpWNSPNgpmNzU50H
SD1KksB2L5WZWjtRmMmp0yOnY09oFjCylR5HlR5Mw6Cggu88rTJYUH9g99GNayOEaYfOKiKVehR6
1A3PU294noCB7zINu3owhnm1JX/CrEx9RHnszhO0qYfp5DxXIz0zY1nDz0Ih7S5KU+ZvWmPzU4fn
AiojCmdUZeE1udhm24500/a4P/Y2t7Ndl8NZiyPs2PyIQxLs+F/ZusEKv8moFH7iOpAcKkI06JWq
ohxtqPP2UmHU3bKaw0yiAhioRYnSIjFFHIaZJrcgFHgsWGr6RxUv8irDwI+Cill+zkVFZqZ1Xihc
5DrJlP882Hb56OLKwgknme1nw8XRsbhfHQwFQvR8gxBv8JaT3dtMU7w8W42Md1ZfogEtJNQKJTdJ
heYfGkm1i+Rsrh2Dagb4XC7evppwBZy9dO+2znI5LyFoGLEk8zaZBBTpXFofXUfOPkto0QY1E3zk
VKtHawNiyoG3iUtbuIx2mcNHlpc+U5+NJh1xSilqv1Cm1kYhcE/5WRTq5vnUek7jiEW0EJK28xLk
p78Q8gtVMWwt24/XRCndu2IKqlcZ+vXK78bg0uCWuE7qyLlYrOCrKKYjWYzmsjGS8gq2TSdYr5vm
DUW2nETDE2jt6UT4hpdoxk3Q6W3gPIMFobL0PpLQesnokNj2+eicUss5UN4RTSzYidmBBchCHHZ9
iXuOjDqZOG+nDMf48MA6r0LuLcRynJR1iLkc6sRGBub1u/aWZW0VjgWXNw8C6mL4D0GLPxoZihzC
1Hvt85xg8DE/WXHk+7Sux33e5faz5Vg49WLICqUXW4fOKi/rTPWbZrEPIynGZ/B49MbI2CFCFFMC
4vrNRWYOW3uiHNGefNpqY8G9XfYx5aQEejY+qfXttBDWs6CHEw13gqukcf2dCRVj1Y2G3LrD2N4b
IuZ+gHa085SbHQNVm3sf+CwxA2jI3sjLM52iJ4hrsH4obGlo4/TGx65CYA9Dvln44h3rKvVMrUVx
G+YyvoHI6K/HDM5w7ZnNTtC1QuW3r7AzczkgPcPbyC+ne6/pSFNQd9MsXvccNMN3KJEKs7qY75WH
44LSDjrm0nROr1vKRtZeUlYHJxPEWifqbkgl3vWZ3dxwvcxp8MuIUjW3KkyhQAIEXPtxND6VwISv
uzLsL+HhDZtpjLaN18iruIBJiiNFYv3w+6W7SNuiR5edBVApKufSAGhBPyXfY5wlh36mGw/i3MZw
+5vI9qY1TGtvw4Gb5TjBKdWgZMoryLSjtVmyug9sZCtKtoybMnJ1LsT9EhWbPBTONW14YqVYfz80
8VhiNp6aB1E0HlW2ZM9cBbeT1nvumhSNwhXKO+5gPp9jwiUPsrUZRAb/Ex/wHmOvC7CqZNeR5aUu
VsbRdKHMGgZwUWuMMJdZ+3J24CGowb1xM8TSoAvvW2u8zB0u+FVCZ11j45pUdf/tSqwRVRJd4SP7
cY1q5Q9gD117xL+tEBw7JzHeBgKPj1hk/OccC4vp+TS3aK8fZag9U5rH/bGebaB/HEXCD6Gf5jrh
6sXB1k2MGJaI36xSl+ANTRLwAvrqXUlQQNM0b90UfwbWj0snpj62a0CDkm5Vx0JBBoF4+KwgGW7h
fLOwG3Puk1MNJIOk4xocQbnLhxYXNFzk7kK0hVwtIGIwP3nUjlgyvaO3yHlLsF/fjmGpftIo+4oW
KmkyP+lu28HgFc5bggkNvkEQduo0LZO4Xdq6ZWUVgUtokxI8eWjfg0AN+LkU7dPsxqwiWo+Cb8Ax
wBzrbJdD1AXxweNE/OIAGixGWk+641iAnGRjXSISAGil9EOuCoOoMevYd4au6r6zlnbPZ1hsCxkN
PJgLcgXWB+1OgnTJs7xbYANpszhtRFaWthvWx4Cjrcm9cSgraTam7NxNlojgzvXQZYGsIqzbMKFu
HdMpPuywN15Tu1x2Xpd517VLM1VWYrAY20T86vP00GWalhXU1pewxuRkemyTVRAPuGUBOrRNjivS
RwQGu6zqQRtQsmJv1/N4KIqBe0o12gKzWrLcUd7TvWJD5yNsBmrL3b++x5oZP3XhMLMTJCQYTXW0
jRTkXsqnd1E8BM9ZDA6jqEJ20HY7sTkCE0skArEM7/k+zBhViazzmBmTwTTRB+JADu/QiitKmTHT
Lf3OX0Z3HdBZvZHdWVK24203jvs4SMWvqB3SV5jku94p1ENnIA1YyntXwK03PUroylsCrlCmX3FI
wvgWgEu4Zm48XiQrxwroQ3aY34bGae9CKiFm9nSWvy9Z/BzMqbY0d9iC1lpPG4KVBee6PePonPnv
G2aCi8oJg7ssF4xfhvvZUprAZzX/CWZZ0zcPVi0TTr7vkw7/OQ3xd22rl6KJXx0Tb/6eQnA84VxP
uwyi35pXq7GzSLnd4pBeS3f0OA4676IpBNcHmsXYJZKDdznFA3X05iDYOE0zrisSI4+awM+pVVjE
KSKrx7NWDl9+vWTo3GV9VQUzI8cA1g3raVC9oRiZPyUfIoJsQbtKQSMRrXeMrYoAA+U+iw1aGB65
t1QgAwU0pSzfpn3o73j87NelJRvcquqZ4Y8aHmwJr1Te6CaxCWj20PdQgHIH2stoAmDKJSFohj9m
UWkST8nM+dSwc9rQ6KKuyjmqP23DrR0mtch+t8e2ebYsn9KaSeYvZiQgZbf+5HCWzd11DhR4J7kx
bYi5RiCuBUMR8eFDOmB4vFhSTz4m/ph/NBZV3GMaRoeytduF8jR7OYSyrt7MabSPQSNtWg9EDRsX
XW0z5vWzlVOdS6zy1W5Z6SUeFyjLYI2IWyTZxrgf4Pijyw9hja81rxomz1q2ZENak7Svkj+hMVhc
zpZkWpHMrJ6TMnZ4p/kNIKbStSmMKqxr26m3GM2AdydVBumZhSTsiqhfmdhZ94H0XurS5WcHDu7F
mGyIT82SvNl2bWxzuw5v/b5CYKtq6xdN1vnO7qR298MRKFua1+xMqSPXzHglEgxgw9wlpzykUpod
dwKtgrtFDwS5jnauLPJrJzT9oyzqV4K26TOu6PoXAaz1QF/5wRXTicQMy5omg65QZXgr6OfyX0zD
tn8Bxu0QZJvCP9lYMfYLxSFMpjbVGwgll1LyT3m1Fpu6WdI3Op3itddAnCmbGqe4y54dVJe1611Q
gVFK1EGheJ4cW6hVnjXc6vPMem6D+uDmYnwYgJfkgCFe+9zFzF0I5H+jcKq3LsR4LOlqRS2AEhRW
9N5Jr/xs+cBuJ+lRCE/p9m1cyJ1V+M7aG5PpUpUVwoVsahAWpQceEwxNuwptYj2hx8azU0zlburQ
emwgauhqJfXjGERC6qJQVy5FU89ZPw9XUkbdbTWwgDNKUO+ehr7nGv/eahC80WsmfEiWDWlFo+JT
DY3nDTc8BgkgeZk2zTvZ4P4OtO5yh/E6MNd54Me3vkbQN1UZontoLj3wO2TzHvjqba/B9Zh5jpg+
mqtWQ+0LFhuXrQbd2xp5rzT8PrbB4PsaiJ+d0fgakj9pXP6oAOd7yl+Qskt/3fFeLjReH8QMcCxK
VzyN3s9zrZwwV9HtpvH8KhfuSSqQ/dgmH5NQiZPZD8YXPyr4/pHPRirX0P9J4/8lt6c7+izpBKjK
YDB3LMz9LUJ/w7p+Ni5UJmqiM1a+zrwuvF50zUAyxRXDq+4e8BKoVaUuJCjP3QQQj/J7mAvpVdco
fxePLscYoabP+NxsAKVQbblcye1SU3xgnTsQSBYy7qIND9c2tzQTO6Tvvo4gqPCnMikyM+pGBfL5
OEUwMDFlRXES41mfxAU7arjX7bmVoTF9hDCaGtxk4nVOdUNtBZLN9pxtrMbNv7xzxwNV7dNtqIsf
xJRGL73Tp1eJZ3Rrm7vea+WNrxN0SCAoGgOxxPOeAwOXNFumZAxsSgt0QOTcO9GfOygCVzXvXsLr
lf0oh8UFFvNo7+nqCleAXmG7qBstiqrRvXu66KLWlReYtarPtqMGg78Nb3hLB+dFqmsyIIKArAP2
gg2I1hEiRuE83ta6XKOLG3ow/WbmjRuGV0MECGcVtV10GznOsUyIH82pSdTISuEfMDasvXOXB41g
4UsD9mEH3YBv0de1H3URN8cRanfyeyL1v81R+T9Va7d1Kv6/FNqrYuD5e//627Zq3/O/fX3/7fp9
BHvzT4L7//8yf1fbqbfFVhkQd8J3C3/57ylozJj8uaN1eMf08GXqRP4fajvhacux4TUKBHdfeIST
/0hBW79BcmYxAJOKw5kc9L+ktv9Va+frexC0aH522ek5JrL+nw27/1gMmXZnX5FFgbAY1OLgzjaB
uzr5avRuSAa81okrEuzXW6OmjMSh1pukP/08/wP3sPXP9mGcoXw3qP/CRWkgSHTmO//JPvyPRVPt
2BBuPfXFR/JdZYF5cIldrSu9aZolPj+B25spEXjHsIixQcdMYB23AAotAcml6VjgOrX5M2d4KfvY
zo7/9bfqncFf/+BUaRcrf+aalktWJPAd6y/QTbuiU9kr0NCZz0go5d29adC9IVtQl6OBYGUoHFra
ypBwbpE8COj5EQUO0QgRFyjTKJBYuEBwOhH40r6IEoNExgvpotGeCdGBq8m1j8LSjoqhzKo9vSS2
B2XErO4Gc7A3HXcuFpQVMBNMjLtBMhFCQSxXWADh1amRdXFGi7FtFxgMMxHu5JjNGLLytzAbKARh
NAIRzcVZBVJVm0SWw4vS9pBKG0WiBV/ToigQqmOWGLKcnuapYHuAroKdJcGdA/TO4QVvZtgdxhFy
ISJIhOne/Olscj4UGFDgQ4pmJbRdpZ1Us2N8am6UNrIQmMXTIoxm/gQHzumCPFRcMI3zQ/Oy7gL2
RHTta2tMAc5hFma66+Xw0Lc+2cTJ48XcdiHwxohg/c2k3TUEKKcrNBzzgP+i3vBzpBl6zOlYqP2T
ksFXMqGiYa6ltrDFsTMHVfJpizTYeP1g4q2TnLKMSdDV+K2Qt9x0C5+JPkzDdZyM45Fl0toJWn+N
wZkhQpuFvK50TrFIeyR1rGsISt6eu0K4U4X+KdmIOg0NYDcZUJIV7OcBQmRlvEVlVa6p6LDpAO9R
CzRna3ZamoYXkj08X9N7qV1NwO3Ko8EJep/2S3HMqEejoZMpiNURcaZxsPbGADOUa2tHb201ELfG
O7IwU08po7Mhut2U+8hf6IaIfaI0dzVmwdsyKSA3pz6GIw8fwtrt2NoXY0MXiyut02KpdI0v8SPK
K3b/ph88IWdv63LK9gp/Lhax8obBXBzDRY2Eb50AIab1XrmXirWTewlOP5IsGJpO6cLvVSw55W5j
dIXh8CObaP29iPzRWodVZdNvQA8CglI7XEYwYbipTtg+4bHJdZGHLQM0kHIzH5t7Vw9gQS8aIG2Z
7ogqAA0YrC5vDSyWKxsxdBOV6ZdMO4JMTePvLGbP40yOeIXmeh8a8tOmUIbEKuHNyejvioxyc+yv
/sMQA5+yPcg/CrwTF6V4IG6ehCdP9AqvQCDfFtvihidUy1g54fCN2+qyHWe5F9ygds3M1CejpdqD
vU6JWChyZhM53HEYb6g5hdycRMtLxvX5MuqDadvj2AQv52MPjLBg8uOH+NQCkbIRaj1lZZdso/Cg
m9zEZrMv1iPmlDcSt/VB4K0wKzQ/wh5sURJKdLi2wnNx682M0H/sJ4QWUh75zo9wKaZQl7QqYO6H
tMbj1vJmt+LJ3w+JSDfK76BCcGvH4xVe0XN1krCdMD0XlrkFC+ZckqzmwebdQVTSbe+GJv6accC/
LJin1qZbuLCfYLIp+qwPkWoZ/GMaUrjZMbKQKLzM0vm9qKLlDsRGdcpArW3YnfHI4WLB+rsUD12U
KPDBVbWrk2UfTKa6nwe7RgTj/5uFxXCZGP28VYavnpXJ1Y4VIKxU7bvJjP/H3pkkZ46cW3YrMs0h
gwNwwGH29AZ/37DvIsgJLCJIom8d/bZqCbWxOmBIlREhZabepEY1kFlKSpJ/A8C/5t5z+YDKaPqS
jWjjjEAgVM3Dlw4L7JlLU55lRdJQTd7TkfjF5lvJ2IRpUrkb+o64KjxuGx9z8V2qR70tO+ZHcTyy
W9XSW2knZysoh8desEer8/hLwgTVzkDPzTrayknoq3rEvl5IXaFP699qF8J0mL4X6E/3auxv6zh/
HsrZ3gyjlXxTLS1Yzk79+CFL5sGF07VIt9Sw9Z6uR9HAghjmIi022rKyvSlQ0wFJ3+E6n1hxyre5
CS7SXg/31lCG297o3/0Q43soen1XMos8F2VWftVNEJ8LNFIrh3V3mef+hRkO8ikM0vp1TFEZzwhP
dmHshZvKH+f16GM7kCRrE5nC4NEE1r4J9SWQK/8mbs3gk9mgFutFaK9VNt/laWocfc+/y4wZi+BU
rQGIMz+PxJsXWs/LGmvVIfxd6dHfezX1fCG9x6nwn4u6YDonRmNV0dKviwj9roGTMPXzYzlb3OHu
NO892LikVdr0N3N8Zn9Ndo6SrIFDJMsQgt+z0CQLkEjBdUrZvK5gsHEW9V/r0DzZHFIYQhxuSB4m
AIQqvsU6/VrUSJYqwrk2ZGRFK89tvG01N8310Gh1qqJKbUEHwPsYWE0ZpGpd4QZU68bKgj1YWPsi
ZKZxUtOc7pxZN3cz695bieqm6712ZVfkGqSkZd024Nt2eeDgCWEocjE65mEkJWGn6/EiwKQNAc+M
t2AMWQs55pZUX1ZUeXqrqmog5tKOLxJUxNCPnBIPprDXfge2v1EMaFM37naQVJytMYUOtgi8KoNn
kYzjjBGdfEXazRR9mQcSs1qd92ekADPCaY9vIfY+ZaPxLO34SyQMJqsl85htnNrXBPrsgWS7m64w
FeQbsuLOhkhTZnROcBVoGCIZiUjHyqDYmnrNgi8uI+NliNrwhNvkYrLR3k59Bvwh7ojMkXBamkVW
Wib1znXGaQvWxkbMn8tPOQXIyhVohdCgT6xqOhRsA0Orz13VtWSBu59tsyJInmfVIRJptsGevuvJ
GQFwi6scdqbehYtO05SheS6CIbl2B0c/YtpM4GuzM1pFHzJPbAPduhwQ0VXFvYk2/VDlY7KvXcb/
7SIUTRbJqLmIR+1FRhouglKStlGmsQXsbxCc+PuQFQpGZyee/7+26TsR6mGq3v7+Vx6kRdtMd2+4
jn7yrFlLxfz7sqatrr78gpf6+InvjdWSkCMWuBTkNNZyS3jwP9OIhcLkxjHF1WU7JM0uZrrf2qrF
G4fkyIcq4YsfPG6W9zc8WCYYJumy5pPif+RxY3/9ayvD36EncBzSeCzUkNaCY/uhlQHxp5nlEkcM
06q/jTyHFBHtQ3DZjK2vBw6nWbAzmKZ5K4CTXwSxnPdqsHBj+VYWPgeQ++w9Kxmba1fNU/qJ4c/M
6toqANPgoUMY2Nt296VDTMXgthYE4TX2VDJGrUjCZQIpO3cn4tlqACkGPsc/o2LUgaGw92Meu/2W
gZXU+7lfxLHjXCOSstzazMDAsHvGHm94EvBl3m9iIB6gJAWrQsOKKBEii/TVjVknxJ2wPUazPycA
bDYLa/cxcqe6WIcgaRvKdVm82wRbMNwjULC+ikVcPysrdcW5ZRy0D6JmpDkYkPYuPLcyWyMUYVjM
1GXutmSIWNmmQqdgbfklPE1Ch1RDjMp3rOxykI5jNT0bVmmGm1Fzkt/PNbKEXQK/ygU4OwwTmpok
foiFCxjAzeKBIVk40Suqhs+R6WURbXQ71uMLP20s7KSxHx4iHzjSLdEBFczDQJqgl7AD3SV5LeQl
dvh82tm4BUhqm30Dk74O6ueWlr0jro7FKa67vnklozXw7iOidOiPpKzmg0LZCekGWBEWHER9uwi9
FytfkmLnm84WNR6immS9laxJPl3NsWDe6rQkC0rsRmChCs+74sSr7TuP/iTegIXlXbSJVT2X1GPI
bQZsOmzuJMrmMGpPVTtD22DFGo30OlPjcHT2Y33VRnBwQYYT27lRoV8vEKferI+Z6yJiss18PnkW
WiC8T5n6TEth+Zu+dwBc2bKLPkWFF3g4SarU2UqGl/oIXAfICjL0vH4e4jx5J2gX2GBZOKF4LWUz
Mk+P5mTd0fpwGFuF8wXFBV+SsiQcs0C3LB9bBWJ0q3WH47HhnqIAKWUYPVYyHb5yiHToEdCKLQtL
9pQEyKIkWktm5dY1uQv8snAkGJNysdSsiJqpCNkzxEbDNr/mjfHpwmcJzuVYk2WBjkURKOf7403h
L6ug2ht64x6gl3KOyhDcbK1QMws8ZtHY6yeRRRvRjOPNaJnpRKr1x63YghmIIzbuPb+iApI4viAW
ks4hMia4pqsysscyXLc2wqRXJ7UzaEmt341GQ752/IFFYM/rPzGXdUcHMMHIH579sXqGptwChkqR
4uy+X66zVQfycyc6vvTcIE+TDmW56Jg2kkKrqt6Er6HnoriIUnZmK9vN0nadaKgZZCwh2MM6yUXf
h5LVi0J/VjgDVN1wYgtUYXL5B08ljibn+d+iVEZjcJjSB+VrktJU/z5GhdkmWrC8eA+7sdnMheWG
O9fI0ysvszx4LymA+h00c5aasLVtvZpNOfxHwJQiDMuXITP9M6m8sQ2L5mdMCiK87OmDkFLjbriU
7NQh0YdVcsMUpep+BKOMkxc9LkwUQgAbwTeFBRNTBca+W2UNXQc7eoAt14SUb3w+VIGQWLpYrH8A
meiAte069cN4ca8u+BLhTXf/CbmEdCj8v41iYVi1g9x8YEumKkpH+itFwtWf0UqUKNFTzDIwEmjH
sjCO2KqDT2Oa3HfzHyFKUn9IkXt2tFkoyFZM62298ZaM9tnhhv7BiFZWcKDWDOK5cwGikD05p8hL
TJlF712J04EnNsgxrIJocpNK13vTZ7z13X6GistPt8O/d54ldZ5c/IvrbAaNZWx+33AWx4bLLheN
4H091C5OorD+p8/Mw/Os1r/Yy0zN5JInCW38/zWVWY6qD1nhzS/9VAD56qwuB2RRseEMzaT8ytGY
NCTLtvGBUPD28DFsCWf2KARZsl48xQ517iHLEwRefcc3tgK00L8ahNe8oQ16RznXXP42NZkcP3hW
JNi+4AobyBfX1VdyN0nbTaYYy7EZgEYKl0kIEfOS+VPqe2csVol//m3gActypKhHbPTGGEC/f0w3
eMIjVVW0e1dIvdtvv80wmkGAwymD2bvoCmeu2KMSuQrKT91W1uR9AZFa3yaGG9/xwMy3vw0lWhUJ
njZVcKmydP6mzVl86uYwxRWpwW57Dru5CYJjYQLuzd0q7J/bIC54fhBhpq+IwZgf5ryy6cVSBV+p
1Q2SrdSW0n8uqcjClUUONloh5lgYxONG4ZxM+ukyKgP3OUVYeFXChfZXsy2LAe2QABriU+e/MyB0
GFcNlX5iyMrZ36sUwWYcz7BnrGAuV1HcWjtMLT1wv5Y1MCctrkWyCAvb20HEgxzDaZAiY2t7d9cS
ZnR2ZNGTLIyiaq9ZPNNZej3xqWVdtubtVCp9aNtcvuVJWJ7miIf7Sto2io1MwIvcR8KDhDdbU5xv
MQV2DvoTvgP12Pti0kSodrgoWfPTtK9CNuafrZoXDfJbJnIDKd51DgHjQVasuo/0liIoJX2Um2sj
RAGBC4KQ8WYtgYu7QTGG2pA54dPkGVa9wcvT7gbmncQ3V/BkOO4qWFjC8JAwMxvOwVBqv7sA/9HB
qQka3aEOslzjbvBilEJl73vA4Dg3lzWvyMRLGTvipbO9abzBxWQSnOM41V7GlELgtMzeBBDT19G2
mfuqu3GplOILEYwCFF8wWe0plJ1Pf87jPL3wE1+T1+5Ut5zIqj85JFERo0zVgeUtizm5pqaqXpGu
S6Yb9KXWPh0Zf+wQIEDhynxhH+wEnOE+6VsT5amPprGfFfviYZAuSd62SdUK2sEVtxkjLkGwXN/f
yAHZHco+Ue07O/XPebX4CC0KPE1XO5iHCW0EOiQjds9TgNZuHadjcrCDMLmzupFz1akc+U5xdOXm
iWDao63aOwlbjwGTghm+kF+BI+OSJOF5Z6BXPw9paZ9zrSoHc1qAwoomOXXOZT5y/RsmE3eCnQem
TxF1xrNXhYHCtznUV2QImXLdj+WtEyCN3pidiSuRtQVFx0i2a7sJDEqxRXI6MW9JCYLFaOTIbR4u
joaZMuBLg0nzPktmjmVmEellIzr3LRQehk4D4XQgqbbwXrvGVZrlINpE6DMJjDJ+PiCWS4Bkrgac
0cCYUESSdcNUpkSMBnY2djFoa8lFWhRlx+ykj/HxyXwomEOZc13vLYY85FvN0rgwgRrUUB8A7Z9o
fFpM4XYXP4EVwr8RLuE+Q046RSwdJpFDFKunmqzhnBfNs2eN/6w6Jn1knyw8a9UaOPpS1jCqpr8A
2/6kqqS4WEIpembk+NSQ2SXehdtLvwEK2zmPdpuWzww+SEJo/eSFdRDFvGC7/mq1or5VNVkQvOOI
gTT9vH0sLFsPR5CwRYrSpDNfAh0Cvieuip+LMjFaF1OaPiWhrVhR+3ONoGYeSnVo1UD6hoOe2KBV
CaC/I0t8t+UQn/Gfj6ytPZbjtmovfF2UCQixrAM2GOE62XS+wXCS6k/jy7Ts+VMkmvmpExMR8+Qf
zPde33h6G/m5fc5kGr9adlASqT6O6mZQXGGINB2xBvmqt1I0iK4J5NaHxgqbe8pv4BDc/siJh/hQ
wYNL11EJ05UPPr304QIjPDaabYUd4RhV0Ssz7QqFYDweuekGsc4UeAkshgxXZGswdIkDgHNYEm+d
WCZvDRPedxgbqB99CIH+CAMynEBKeJyvG8szwMXLYlbkrjcoQVxu37dgIOJxVdGyfG67sKjWZTRH
9qZA4FbvMUR4z6iHYBG4Gk2YsXz0ahAu/71EWX/dL/s9CxH9TqVILNB2lM0qG3sjXdsQDA695WD4
bONxz2FJPAE9pWLRAVYfH2m1cs3xhtmQ3id+84npePgIHdw9Ww0Rc7FpW4c5Hw9Ub9M1Qgfrs6yG
CuRkPURn8tRne4slHmbdZBU3lmE3YBCY6Ib70Rm74zihMI0m0T+OmfAYr1PA16iHy1z217q12EMG
yIcv5sx7LUdhgIALIpNblCn3WRVxcmj7mXskCMGhwLy11CkuR+vI6fPGpi18ZSfWH6aI0ArFQ7Vg
Nm2gBEm8xt74Hlu7dSsTX6zbrI3ueEpml7nqcuwBMfkYWcXVyVnvF+HKtn1/N0yJi6iQaIROhwl7
UTiuvmmjpKTxwwTfNzdEhBbYHQeQgnP2hsnd38GLNJAI2tnZSQzrAEJ4HXOgOdsaU+2bSip7G3u6
vvYz+K2wBYgm2iEI7uU+Sov2yim1vsW5nO69ShinhsiubNlXIo7oPCA2dCGwapqWNTJztdneZUZO
fR1o1E+JKpOT2Qb9raWLL3NYjSfKi/aQTm5zkXWeucJC4FyTDpo9gTfu6+2IPoyzmYP+05CM0z6S
ARpESH4tGG8/HnZM67mWuD6PAYsA+zAWg/+VpPmS1E2z5cu3g35VNREMRjFkAeKZuDb9LVzw/j1D
mHWFk5z7Pm79NFo1VZwib3enr97gZNdsMqruJF3Z32jP4CaKrJnHvTEnzas5Rg0Fc9rO+MZb+1PT
0hM6TSeKfep549cgLZRgCddL7t6J3S1uEsiNXMYzNXnjQO9GZ9TdoyJj0k6hzjwcQNzarohO4UQ0
5bayi8jZ6s7pd3VgPTt1Lc5FUsbrHIfOTuIrc3cj/mRzNNEV9l6xZv05nqPACI8j/ccqbQ2sqCgt
4UwkLd5TJJLHekKnQy5cMUHst8XjyLIWJIzhSjZnLa95dIX4hOoxaOEokbMnej+9gTRYv8iwcDO6
c10+TGPwgMKlBTrqes1xgP2BcyF1uuQB/1suAbB25hKhkgw3sdMbwTUIIDAHTe8/wT4hnc41h/2k
Q0KeAMg6Lt2KOW3qMcnuqAdZcg42OxlPyOZrKovmS5ciVqV+679Bk0My1dnzlojBbN/nmbOn8jSw
ovuDcxp7PCaMxo0rDsD6awca6iaSITmRbGdpwebBurRo/cu9QbbuccBSdSxpkm7zvt95XqbmDVu1
7CsD82pac/T6R4bZ59RWZMM0QXQQTs6DopujA7oqjj+K9Y40xk69NYM56bX0aNo2rTcRUtm7EB/3
IzaZW4S43ecaU9Kh7CCR3ExNOu3KqH3hOM7vE3bwbL3y7AZXw7Hj3e47tr94SNy0e3MGPHinmT2x
eQo9yCjbOh+Nl7mR9WeVt1dVYuXbkuHnerS9+HMMeeGuaUilk3NqMUCDK+WzlzsYYce80DPuy8AB
yMOobDpQM/uIvW0YkKzGQja0g5tf9B3SV9rJAkpd4L4YeSwQX+GuSfiWWtAj7NndAGN4NEuSnqwl
EVKTx9NFjnGnMUseqXkkt4J9J7yuOzH0CwnhNLBHGoZzGTjtdFGSwxttrXnJ2fO1jXNjVgLngocA
4MpsfKD3HZXdoEEzbrvUKM8syyHO9VXx4kU2NVw2vYsc/34Nnu/JyuyOwgpDZuvL5ATtsbkE0ule
WV72OBtU/0VfvBI1Yz5IrbmDAO4V12iBESmP+ql1kH5fGKpon/ASGae6UO2zKsyAUE8wwdZNQh2B
pE4qhIG915nZpg26BGY/XAPGXUMcinlV5Q7vkVFfUd/EMwnfG48VfLSJzFo/eDksBRTytC+raZkE
BU6MKSSyewaXNYZE2IFtaUK3yQzzcSJ1Z4Mvkl1JiGbvbKChYEIcR3ArnCF/4MRt+p1bxNRSJctC
kgOJ4wqPeAL7nPSWhqzlti2DCCgrRdUqUukQb1GhjdUFlQlJP3Xb8JgZHY+mi+9UMXyKcijFP8z3
/436599NzCUrIQpKNJBk1f88Ma9JOiMTzX9Trjchle1MeZhmsjrXU4lo1ym7gAjuoJmuvNSoPv/x
3/45WA/LMQk2vgWg0cdW6Smm/z9N65Xb61qU8xdAF8Vl7OPkw3SZQLJtu00s6u5Q2ll3ZwQpPt2k
M8zvO6DfjcUU//L3XY+ZwdJ6OMrzPPOXbcGguiaMarb4LKJhoRShMcwHD5erjTcud/c04Ews/QEn
KFRnY+w2o9vPHaOCaemxO2B1eI4IXucTWkpiNmSMPknPhI4aS7YPa4zQAbtpk4ShjZ+jvrn740/w
X98CTHubDxHbMWcvVvCfP8IIB5QxugzDZ1NE0TZHDcwM1I/j6VuQO/ifKuUIk8PL5yoaDdP8miQJ
2aqNx4B2O0BfTda0LXWymWQ8pkd83lN27sowsPYysvLFqsvm9KachXJJ30ps4+JP3sLPWdxcBZRO
GEfZKmE/h1P5y7dgRK5gHu+QpAC4Dn9wEzHKN4rCMmGtwmHG6yDEIqZI+Y6iQvHhhplYPnpjHJ5I
a81JWmsMzN/i41swasPN/oSwuWgSqx91Z7xIJXxTUrhxm/A6f/6cbZvzwguwlLhVk/T7AHhbec77
kNdF7XHbRkP85qct6yZWvnzIH1eFX/pcJxYZPe42SkKgICMYL1whE86NP7mP7eUV/PgKSWbhs5Pc
ThZ2dMA3P7/CKpFz5keQ+fBecw3Y6ZSplyysq55tNXf4l7zmU9sMRgQkPbSskK1/aQFqDCe3JCnb
s0PCFrMqYKFlRXG2Yxemw80gNbm7siEPsEqWtRAjgUiuh3aynqQM3GblN5lLoIhO0O3XFNDjJs/p
OSiqa7U3VInJouFCeqd1Su6w9jB0jWuWJ2vQfAYwqUENt4OO3AdUDzLD/4iM+c+useU2+PnDsbEr
IVLgU3JQXv5CSGVxEVVBzVq/7bBD3H1/qGpL4yYUSA/cK84FdD1uzD4GRFszuUeMe3NGkms0kvNS
T61g+jGmlIdZXXAv6dFeIoqRdE/nPK7haK/aoXXVn4SAWssz8OdX7njcAI6JnoN/kr/c4Hg9Efaz
lyLnMBojssXVor5s4zlYx5R9YKRk6diXumnpCZsYBeJ59t0wPUmz4J8d+s5rFhhE2vsFK9p1IaRT
HTgH0gTewERyY+7inFq4npYG/9uxfVI5TqCzNaoypsgrsERtVNMl6kvl5ul8ZHCUfAb3bk4Pf/wo
+Pl57KE9RV2rXGe5jE0eS798S6CFQLH8YThQCEOFcsj5D3OBrJ9vc14BH7IruYFsGBjw35bT8of9
8Uy8C4kGOlnNUazLnRsKhzp4VoxFvm+l+Jg95+gHTvQ5Nkr0SlnULE9WEVrfZCSrYk0aMoRHi/ly
sLYyxq273B66lyLhHKeBDoKj0Q9BvZW+7+xhrGXVhhwVevBCzgaKp9wi2JyQcBAZf/zpLgCTHy4l
D10LOdoKzq10bQ/I4aJK/uHNycglSddtX2mu6kuGReQAgPLj1TPk8C9phLuAWALPPgVeGn2pTGyZ
Gw+sNsQApQJ7O/hFK1Yl6o5rcEOLAChJ7i3SECbWYkLew4ZLzm5XcNuYgSwSAD8WeBzTHMQlbieP
BCDB5F9N8O43VVGAW5i467a5XzV3TkA/t/7jd7yIDn59x0gVXAubMQ9tZAs/v+OMfJhMltlray+r
QZvFDW1QqZfxH6qEAuKfqsn9iIluyPpwjPeyZHRMW0Fn1tZ2NP6J1PoXfcLyFeAukIjMUSi4lu39
UvHAH4s5Z4jZhZfIvrPsKuMeoVYBXZYIhnoz2u702Nc9iC3MKkG8HeQEo933ixjLZtdiFhvYtSck
fkr/vYgUQlukhe6VZ6e22HVVmr83sWTbKqs6v+z6os7uzUGNtIjLjpYHTfVswZJ4kB0rByzS5gKM
Xf5X2F8V+wZgBN56Cvu4J4cHz/BOA0UMViUxmbhMNB0ouIgUryxeoWgz5UgWwfJqnBzBbMcksZYj
arwacitDI/qKiF85OIQP8hRpPxPtwC/LPpaoVk4e5KEgLvNgA0beKZQL9MIy6IIt2YxLr0O86gh1
K6vLTeHlPkG80FdRC8Dyv5iySjxqf2KoLUvaNyRLjZet+twH1VG5Yl1YIsNECFIRLlwGrQA7pIs/
ZxIdG7OPK+3/mX1j+UPfGPA2Mf2o/u//+scfXgLgfvovWwJR2+m2e1u0PRrg63//1/dyd/k3/9P/
8x/Zcd+VQl9e8xjwvm6b+Fv7rwwjm/Pm9+VC/6Qg/WX6y8Xb//5fPymNxAcDafn5f7gyBIhsLF6+
b4EsYkqheP4Mb7r9+18N72+U/5RWaH8XyJFFbfObeIjbZMmfQ82zqHt4Iv/Tk2H+zVSu75icirYy
AaD/TzwZv5ZPruLX4yjAgYiJGX/Bz48K0YGTdODG4AXT7tax+uQ4Ck34NhGomx8+o5vvh/dfmMnd
kH7U6r//dflVPx7py59yqNBc8vg41+1fCt6q5AwzfCKuMJrWm2moyCfyG/pkuxZ736jlRo8xd8zY
qj95/ng/n2+L1YOxsOM5Fi+BcvHX508XYk0UxKivuqHKd7qdJImcgb9NI7DNVBXpSTOmoLF/TQ3b
2cWsKjY6xLZPEpH7EpPiCcZMAJF2+U+U3Y+lWVM0BEQAyzG4cK3MWxV27B0nCDulq/PjMIXzvjKM
8TRk/SlTdbLFOYJXpI/qPTka8TZXxjNhqtknPQX+Qdapx7NEG8Ed2ohkF3kxUMXcfwwcf7pkk+Du
zNFOv7XK/uol4x0lD26IyfTYzJST/kJTxo5yGvJjZdNoY3XjHQhpHeJ4oEbzpsg9OJMiiqObhscs
ENUGvnh+cDrL3jqK6C5vll2GUd16BPy6ZAPU7rYyzWqlrdIDRwPjJm8JsmUzHV6xz2vJ4Au8XTm1
n4vYf01V4598H/3WH181Ah3drxcOtw7mJeE7liS18NdaUIZj3lUOE4eRUSnZBtK8NIMIEqnRYfcw
i/m9qpvqBY+xWoX+EqMo5FhdFtpLwYYslumuWRYkEdkYzmKpdszAeSBttaeqx4UQLdbrWbehXJsd
TJvJtfgIg5pti5osAgJna2P1WLjJxQ0PDPkZiy8Gb8oZcxvh+VZExp9sUuGPFQzA26hhM5MsJnEV
VPlWLcbxoI/f68VKrivrW7KYy/vFZt4uhvNxWqz1mEO3M+xMdz0Dwk6b6KWZDWPFcoAFXtSZ68Sr
nj3DaC6tyrIOjuenODOKkB49td1HjgjzMsV584hPyHrJUtNiFG/qtcfQe4tl1XlQYYPpRATJDo/R
29AOjJH75soCJQXTKDXuG9/9FnTd16FDkgBt7CgMciDgeKW3eF6MO2b99baIENKBVZ/W5Uzp0mVw
F+wpjjYx0PGH0vQvh0QKVpGivKtCsDlNk7pbjL8N1yf6HzqVfp+58aeZHKljHy5iZxvRMTHRDIv6
Nsafr/C/BtRkWM/dT0WHCr3pOchQBagzePvsTiSdeOghWwU843HWBEASNyBzgfDbBiZzkdQngVFh
K0AEHfouAjhZ4/RtHQTCxpz3jAZggyHDbUgqlPLEYStAyJIeHrvlfDmA3VgioHZj3vubAl2YWrkG
dFSqrU3Wm8Y1eJ7xqOjft1rW5qbxjP7EO4Ikk4gqWBtJIrYAXGDPTKl1KrmT0G+H7cGrrNcimaGY
9t5Vb9TDmYFmvyUROyd+XFl7a5DyluW+3rsMVAD/ZFH5pmx32CpTnqbQxWaVViZsNJY0tg1R12Vi
cWwZ+Ox1PFWY/A3PurZj1h4Wq2Ai40XsrZXLvEak3idy4/pV07jwxxZ4jqY4Pdi5JnbP6PnhoKbh
gn8hjyNTJGIzgfDUtfNp9LyvFcvDVZK6FuZURBOAX/MNzQUYH3g+bZqd8gXw4/cL68f1GG6NCwDI
sqeTCRHINRJ8814esoDr/TOavmrJPag+T3UqbyMRxps8xa9k+Jm19z6oQ8wwFTc8HttqgRLR0MMn
SmoHygdC/mTj1djurTlHBKTtHlHQB+Gop2/cNwv2KFgASOkHC0mnrv/VjKfsBtkfdt0UaFK04JPk
AlIaP5hKhB6Z52wBLbk1w5h8gS81cKXhm3sgmYAYFnu3h1Jp+Mj2NbHbKFmzKxgnMQhPsE4VizzR
NJCemgX6BGVW4I/3Xv1wkEifFjiUje5gBcWkeACHNTyNC0QqqsFJjQtYykhATCULbKpfsFMZNqFT
hIsaUq4gwMFbAFXZgqrqF2gVI1Qy1/oFZWXprjmXk4GJoPhgXWmZJkcELuEjYIHkOvigYoFrhZAV
hmjpmwWbFZhMnroFpaUXqBZHZ70DWxxcNYMmKG6ey/cMPq7+IOVmMHPdD3pu/kHSDV2YXVM3pS90
xjOytlwdnHpyuFMynV+5g79wohVK/w9Or4TY27b+ZbQgfN3IKA7NB9YXvm+/gH6zufQf42jQe7lg
gN1glljAoju7762LJuV6A1WQHE2NFKBEKndGZocOZcELO1HibMAxXg6FUC/CNPK98cEjdrHKQgQu
p3umkN630IJMPToChLEgO6gNsnDtKyR5NaTjYbDrp66djGkVs1dc4bHLNqREBRsIMtEXx5HTnbWg
k5EEhmtt2KyeaWx22YJY7hfY8izBLosEALNcUMw+IQNkt/kJzW0OkhV37njRf/Cb3QXlbNIV31oL
3hmbwitSXPtQNWQVeRmmzsJLqkORVFcDe+ItdQEP2dZQFyitSJvQzj2MC3WhLYOoBZql5tl2ayZe
TP23kHuIA1EqIggbVYcD+28TJ/VwFxNLcmsSEU6OhuZJJBDXISDKiLtmELNqLBuv2UCEnt/DG+rD
WxBR9jpXOBdqhaky94FBdIJb1Cnqfg37usSSEW8n20aY23h0OA15cyOY1mdoXO0uUROdSOy533JF
+ErqVfKpDlIQEn51RfTc1upibrOUWoWseri5KU84YeryJhhsfeN3tIgrHfjxKehb7zDIVG07owkP
TlVzEA31W4W+8zKGu3SsZ33dS3fP5PneYr6+93ycUBOch1OA0A7x0mxCGEwBCugKWn5kpO1NLkGx
KKoXVTXlLeob/EipNdn7IGkMlPCx+Mzi0dz6DJnvatTFn8KSxwMhhOMX9HfEdY5AhPzYNTEjOjXm
Qv7lzhmsatVX/bCmsraQwmsLyKRiyaIR9TVgQ4G9K7Iqe+bXHrslIODpSk9wmSudeuD57PLJ6iNz
hY13P1Iur7m4k2cFpHILE5ytqz0R81Cp+QbQhE3WUghyi0KBhBVUxUCuxvGAVFXvB5+Hb2433db0
hnmjbbbKYdyZO2Q09l1mJdaDL53nsrZfHa9wz8QgZg916LUHR6lD5WQNi+T6jF4fr203dDuNdgzT
tjIuwxH3JNQCJhvSQNU6DUDa0EltxsAgwI/BIcLmsOqeTQAhM6iDwF/06mALjbgm1x2LGIqk7AJ4
nuAIY8E46hIV8TRkRFMO7DUNYBWzSwKkmgkoDuzG+GoOgX2dFn7z2Ykj572uwUM6XDtHhi3BtZRW
fiWQya1CRnyXlqjIZ68Md6vagAiSIed7D0KfmXuusUrbqvTumGVXkOiZTaS6ra4az5H7njpgV3AE
YxeWZn/CapY9oI3pdnYyAWi0zTC4Jf413jcZG0Rsq9xcfT/f6L4friYM508oZG3cq2X4UEWoZELC
bLAi1S6uBbONtiQPTRe+mcO6gSi/8vtFeo8Q4Ux9ktyZpC7cxazYD1QaGP86uHFfUw01D8QYyXvA
JPRp5m55tvEodCuFqP1gwZHaWAR+cdk1QpIThxswHGUAwbQ0BwIhS32TMkdHP4xJ6dCFmXukIMhY
+nR8RJEvvmCJBmdb11XAnI5jsKv67mLWCWkNTEjk3oSFg9t4SnZt4zb3Kuv1zlmcdttmSLpvRieD
l6m3+xsrmLpXFdaEDMGfPEgA19cYbR0+fiJtTmSSpNvQmXxCUozyKs0VPM66I9DSgo2D+qgP8ZIr
WV1iMVA4Bmf3q455BAXZIG5qnAprR7ZU1MxU78Lh/1B3prmxY9eWnooHYLrYN38e8ILRh6RQryv9
IdSy52F/SM7pjeJNrL4jp52Z1x1cBRReAYlEGnkzLEUEybP3WutbOUibpmxPNgGtlpWupn0Nvdlf
+aOdEPHMBpv+O5doGeU8abxB4qXjhGmISIWsHBJ+qWV5B9vz/SrsQFVvmyHBn0uCJSJHktgfUVTg
zjOrAneWgbO/MbUuZMPPbFgaxRPvTcHlLPTzUIDkbPkgH93CRQemwPvI5S9ee2jk3qrGH7HO4tLE
h9tgosocCAItHndql2AQucmTRP7c5/40kyUcqgNccOc8Zb1GP2PZUDY6uc7GoRD0w4DOeqs77Fnh
QFQ8bAh+202uWyuMayaVxqT2JWiXs5f5NYc+nlRdPEa0BLbxZkacOZgunrCuJiwdDthFz/pCbyTE
74CHEicu6J3pCy3rTM1w8ou9wYD3CEBaYv/2eLzrpXf0ImWHZe8OwU0kTXU0Z+E9WxRZPxY4nC/t
hnR6zEP5QAApDolTWMeZsP0N61OO36SZniXZhxXRjv7gC+73q3yEQ6fbMyiqBK6OnZN4poGScVut
bIcxainTqxOajMsFZqvw3mXSmVc8fqy9US+dOvSiAlJ2Yb3LmFu7NI3lw4o0HaN71cKE9LtXQIGc
7zFy7mRuedV6YVfNsFI8J9RpsYAMbc14MJw5ouBhmVeINSRmad+TSbUb6rikH6Z07HuDXNVlksF7
0mt9KOkEZwm8okGxmcJ0XrgCKl0+pGPkHGycvQeC2GJTF3UNzJBkk7YK/DLaL8iRu9wdAhodAvdM
RofHMH9mhyMuFEPSVlggzPIuRgTcAXfkrj75H01FpUVeaOYNrmm6CKns2RVBQXifKkNVA7OkITS/
E0NDeZpxfIAig5gL3hDucsqjHr+vEa1zcOzMKQbMJQNkFdcO2lcH2L3Q/XkPBOzgg6vZQ2bCcYig
v6/rZtrimz+kERYvGj4pX3foPS/NxtzYonf2qKp8yiN5HIczaBjwNtIZNkVrq6TeY9U3UbsdRr1/
FBalhXhBtLBMzauhwRkmW7rMOdXoHOgVULIxa/uHKUaKKcvZPXaF4HhW+5TF9lOdb4aE9jHXh+da
zrLdiICiVhO00sZMgTx3XGhXPECyK3iERyLn1oGKYyCCNJf7Owlq7DK3tepAeQnCddHUiMFtDfLO
7Y8CO96qk76NOWoWO8soytBkiN3aMx32XTZIKFI1Wx08FDb0kN6c1kWCZTxNW7oq3L57c6ngpCeM
12EWN0/5KPv10E6Uc8sxxNTM2Q4j+Y+cO9DGzSP9OAZFc3RSFIPZZS0gvPEmRc5cS3fs11WUS6LO
5g+70R51E2ezcGkgwpqE49dQ6Y0+L2HmsZwL9VmHDeQuy8adKJ5bZAR8owAqMVdL/ToYiXjt3KpZ
dwkfOXXW6cGvpHhht91uhiFTu48RYxGSFPhYkEM7WzAYC6NJL6NWxecz2BTzjOdWQQLBz5WmPuxs
A10IQ7YDmq/YYmnCgBnQoA1uwHzq2Hrvkqns3hIgofeYKrii6QVdI6fpW+yx0Kc9Iz/2LQRie7Li
s17CXx68Nti7zKRPFu5zxm+9P+o+ZC5Pjw02iUnlXNlxvKPAAYO8Z1f3c540F3iN8ouirowvBHN/
Ncbl00Ir7T6IG31btz5UbJpYw7lHZh/ydjw2JI3JnycAxIJAGDzhtWjd9hY7J8fKdkPODX5O1BnU
67pXF6/UPl2YnWQ56XTddmz23IIr3OXQJ2ptPM+JpD1I8wscgGkDmq/z72u32eUFlrQRJTCsbNAO
dM0OGy+NU0bVWq7oKrGPphkBTtMLKWjXG92BSpZ22s08OGm6jGxI63w6eBcbeH4pQHRY20LfTARN
Tlkux6OmaCxeh74w8N3YGHiAdrYZO7dDZdjXoKHhX1DCvCHLDViaEDJr0GzTNPSBdYLjPyXFyb5g
55MVyOEWM+1aTWQktwNYqrFMLRAL3Vw9OPxEH9g+ihtz5C6DzQgPp9tXQ0WPW9PcVHol2xU50vFl
6Koc+mH6lGfivjIsYx/oUA492vtus+UYsGzbYppi36IHYO2TNr1i7J5XYq7qx04uzglDILCWfuge
jGx0j1lAmVqlEzFjRxRHxwj3Nc1OMjrNojhyrr1SLakKAjuTLcSSGceQugWZLMga5K5fB7egMFk3
b/AqmFtOdUXDOSs4NQlYc1YO+WnmyMDnwKNizQk34RBJTN8x7folc+rPIQ3uOz2Yb7PEnSk+TY3P
OZ+aNbV0fKypu5yspve6NeRR+3OOVeWU688Tw8Lf2G8JWHj7JOmGTVbl1q5YZhM2W+Z44bcRty4W
+8KdHP3RCsb0oJcsCkKrkPzCExalw6+2XF9ON9nsGNtWx7CyMr2Sqz9roK3+7M/lRg2FLocJY2vj
o+4hrf1rjy6d3Ht6nKDXdNpy0nwvgUFDyW5aY+OkNCH+/Dbrqs6psMucm39m2O3sQj5x9ZD/Va5d
i1T3Rq87AAlluhJigt/3bd9l95GfC49ZrbHN6bEuMvOAjTK4gDPaPn67eGkw0TczyZCrvlaFfB2r
2W9PL3ROIjhBca6E/opRJDsurCL3vQjkRQTqmY6H2TmjsGRPGmhr8Rdfr08cJI59DebN78291QD9
U/dZvUKc+YvDt1j65N3IGJDXiMATn4xFC22Z4eD7q+G3NOQH9KbyAUdCRYXfDGsZiz6H1Vxr3X1A
ncw+ApqxQyMWFz+bgRHVizthqYd508hc6YCfc9S8TRxlwl+NwYq1305R/tDBrcO/3k4t9IJ0nAFB
mMWq49/vx9Ion/++YXgaDdBNk1ZdfbuGJ+qZOKZ2fQZiB+uwlljxPe+8d/jFPpzGrMkIFj8O0Xz9
Gxtxh4Xt3rWUplmIkZUgANsOTBaTHbwPSq3gYI99GR0XdHR2f2J4SRk41kPadjiHLXaneM43Zmvq
RwcE3UVcQ7CaPMe6cDs6FKAzcoiKWvnQLyAkxgqyOsRxeL16iwfVTpT1cqq8ZjtDk7+eA828HIfg
k9KziSiok13Zw/Lh+bRsFRB41zVbPtxeunfb0oS8rQ2ep5oeLPdFwVcP3Ix/qwI861FLust6BNjn
0W/Dh1C7j7jzAkZ6LndMujbMhqHO8Jx67WOTkQWjvfjC7Bd5NXFyINmp7WaHMaVxaMTzeR7D47P0
Ta/cq+g5l4EL0Kln/bxyBnPZlXaXHajpuCaazA3fJuz2GJRtdUnWmet2kOUZa1a2RTkeYGN0M+Sl
KeJMbl2XegvPiPpC8yYiU31Yglgc3KbRHlIdo0NOFS3IXBpAnbxZaF8ABrL9PvFEuMjDvgSB1o56
/EZ6O3tJ4kz9GWNgjNDsbCsA94YGgb2XKTZYr1k80awIjAw7U38tmecznp/OV9LWwx2G6eRpqZH5
8GKZlNR58oGsAmXVsm+fWy2d9jWd9CSlKj2cpVNeTpgMIYPb89mL7eYl0jgTW4Prg6pJiq/KGSem
4CD+CAA8UvbZUmjdDSZ8acYVqkAeNX3iaUHS4oewRbRj0kTMd7xDNcUtzpTgPlcgXGwP1uqPKYoH
uQdwigyD7r5zojEsowzuOJjxbo/vo7ull9zfaNi/Tham2h/f6tb/MwH9t/r5f+w+xdUrRWXfMvpf
ZfU/C+l//Z//k1R2VRb9j1X2/xx6kEjlf//Xq6Ifhq9V//rWpr/jH/5ZbFcv84vYbv3JsJ1AB1jI
Ptt0WR39VWy3Va80YrvHghPjDsbe36rtmFPwOnpg1HCcufhT/qK2m38Cloh1Tudlv1X6f0dt/8mZ
o4Ro04B7qBR//tHyftbA3TlOSHuLlT14q5HjziSOchl3VXbOWkZ3Qdu88qSP3gar2r+Qwb8xID8p
8I7nOS5pG0gmjq6E1t84oebIVUQs6obnqVquYA2BfddrqFRt0m8QB1+JG9nsvLlDxyN6XapK0+qG
6RcOUBpihMIk5xMJ1NkAbkfCaWtwzTWdKsEnqKlhb3Pi5n7KvpmijXWvm9P+N9+Av+ch+LYs/vQ7
4Ju1Qas4Hh/VzwxJV2ppG010IsVYf56H2Il20/dGwQckGcffVKrAP1hq88Bwa11iPgHk69Qjmcau
3tBzGYexNpqXQp+rIz0f7C787z1GMtJa64xjv+E9ejfThDu4M864HXUIaWr9ITtuVR0egbAcpblh
5m22sAt1RhRA2GR4irVDXvBmcMc7ALhXbjwH4aiWK3Fm3ir4+LkLMGJ6OjEnJ3mySF+CiqIhHOPP
E0d8yf5Jhy6cGuc0ZZ+HU6sGoBScjcQF2BchjORscFYRoaAVNoYXO8aaFKmNTzcRNjGJuW0lv83K
XOCmR2orVHotUcNSfkkZXOpdkm/FqGwXlMeBTzOeu3H2mOOs6QabPxCWLiXnP9hUN87T1qJlk2O3
fHf7KEQES6CaIQfEfPyK8mJ0pKPk8iYTcXJ8iHty1gVnShFwIovCzJRIlCQdCSR2IYiXPJSsFUZv
pAZkNGGODLcRdDgqHK9s0lzrqs5fLUhyG91Jvjp//tRG7W1Z6jsx5ldNon9NAfz/QtLG9daxf09q
6xjk1bVmRMd4KTYk/U4SCMmqJIcVVqVaCojEINcb3GqGjgEko8PV6G8pHuk3jO6sMPzq2iMtJjPd
CIPGDb3MLrk2tQ8SQ6zGGv+JEBcdz3yNMjt+A5N70+T1M5YSONIR7bcTTRAG4VtNu9aLhWeLTduN
dOuQ/3vgcO4TCI03koOX5rKconGhMDHVdqwqf8SZtvdrAISxADZC7cKI79+jSclzp4MIkjePspTI
S3YSmC/z4o/RaO6q2rrMtb7YtxWrXuL562huzJPeN8YaTOUx7QE6ut2GtsOw66qtHQ+3Dh/NbDAg
1vxKiZ28tRRndF0MJtg9cLKhVKA5SFOx3RLUK33rLNNOqKwQFDWPdSiCVAJDOYnJ8ccHjgS7buK9
aMQpTmQ4j+MTvUQ7MANrI3Au0mXa1oJqCdJBimFnP4O1WRuT2FdxeljaclvmLZwake40U16aHCiw
IT04ECHWA20FrCTAOgxU1NAfSc+28Yn5el+62RsMg3MbVZcstE4+hYd+YdzxMxNJGpO3uBmJ6QUn
mNV1aHkJPOXUXXWOe+kby6lvh2Mrxyc/mB47ZwBbQh3zulqcec1hBD8kcyVlX9a4FSQ8V5GbNSBL
KR1tagzknVrqlrUroFSy6EVPZUWqg9M0ac/sxHJWRpQd71LL+IJYX0YwY7nqmGvV2rgcbDbIkdNm
rMuG5AbKOdczJtorKoAlahvLhE7CVQmm0r0GDj+R+mfOTdRmevxeUsshKFiNODXxRDHcDRN9HEGx
TGDn/LzfDFNQP5fS9E9mPtDn1MB8w9PfvVIpNO4FrWVhXo3pHgiIt3VEDfqzoRpKN0CMpEJPL+pl
ATmHOrbJRYA0r9Frj3fU3hTSv9DrlL6WPBkO0s7TTTDAV0UJlyoC5d3IIphPnDmZYvCeroHAYvU0
GDpaoG+hawNfmFveydjChkIyV6cUifylXmNISXGPPkiaasIowUWg+9dLa8LZ4QcKjJ1mx5yl4QtR
z6Gjmdi2+MI3Hs5lBAi7OLHCJKLJ2ba67VFcRmKuWS+2mlZfWdV4lrWdhr6nXXoivdZLBsg8P2ta
vm5jua5N7Zau4U+wS0Pk3QEQ2TqsPkpURn32Tnozv8b69GZMMIAqtdm1RX5lzctRbwLtFs7GYxZE
F4Qw93PavYOm/aRm4FSVxrVnRbeddHZVY+xlTuTAYHHcDv7B1Lk2oxoHaoF5hI09UMzJe0REv+D5
if/OXcHS3Np+BWOz9y/END4T8D8FtniwqEUIPSRmjtQ3uIujtQd/bz0L87BUC2jDhW+PTW1QC/Ar
Wq6EkV1GiPOtT4lRusbaivFZ1SoXc1lvKf98iHgQUCyF/tCXL7Wfvpm949FgIM+1VwDw6OsHjNXX
sk8ucdgO73GR7sasDkIaq08N3uZ1IKOV0xnspodbyCD7JIteKrh+RnSdR/Dv1K3U1LIDIKIDIXs8
rJT4pV6w74KR0q5pmwx3mYOnujO3U0W+InV3mePSyTOxV54Kf1v2pAOT0mlU40qw0q38bvCLO78X
3D+W6EGIuMX+E18ulRvq8FoQd0In1c+m7K6F6IlZFqHIAOcm0PRQl5wQzj2+N6LqSXnbwWwJ+9i4
YtVLp20/fwZLneADW2hsxhNNhqzj+YdGGGj9B1C0jxJwEyQd+6sX/tPsOOWRtvH3nkvjXivsu9n9
yggZi7J9Y520bf3pMWZD2jTRMxoIvVpgRvpr9t8xq8X4fpnre6ek1AQu5WFc6MTNlv460oqF73Hh
0KpOnYqcyc5rXvouoAvj1stpCsd3xa4k3nKG/iFrZqdY24wBZexAmr6oqrog5XUBJBMMredcQ4Q4
IRZAuG/w32CVXjnR/DT12ifZr02QLg+9U2Fnl0cx8uXktoEyXYb5ol37rD4ppnxxKzPCW4ASS60a
v3jw4ro7G/wQRc67eFBN6pG9okP22eI/Y8Aab/veuS9adh0YKO+SYIYvqg+U0vjHBUxWWA3JPqez
APvBxsNXmhn5Lm77S7xlr8lo3hVt+qWNwF1EpG97XPyrufbuKTIIUbOqkOIy1mmBOAokYR/2qw2e
K0eEX+JQZ5lWpuO+MZt3ubCgt3XKbFwfxEDUfPi0rsRygwflI/fm05wfEs/cBakf0YrutltPv9em
rthwukG1iKeLrLfXde9xT4sfteaOVNCe2NiGQo4M69BEplxzsWpXz3Rcb2GebYxo4Pbo34lAhDyN
3mh6eE69iS3k0S7vVD2cuQQbLVt01Mid2dgcuNmtf3hZchJY1KFMLyzVnLnYTT5BHJnbqns+ix8r
a7pOrA5SXAsCIa7FNTrde6vN6cZvF5C7pInwOcTvZjRcqx6JxXX2bRz4VFgjvhTtjjasLRqNHXpO
PZ+CkhubbtTXTquPO7scKVwozRvR8V3wew02VXDMQArjlrz0a5C8ek4bcqI/aJ1332tNupui2V5R
Y+eftNZuQjeqmzB3PNoy/PvMzhgPbL3DkxBbK2QULbQCQ1vH1bSv2kCp7uT0MklVBRi3kZCvjVZ+
wxJk3MDHvk80Z58s1QVPzuO0EBXtlHri51Z1KTX4HC2Zna3pdZ89vjmukcU4WnNBhYmbfzkeBKkM
AFg+Ag6Bh/uaGekl9c9yrU0NHQjOXQemOAS/sWYHA2Otlj25Wt85N3N7UQv7KULUKnztC+nqaAsO
2LjqHdDeC+1wdJX+yHN+esaiXoXIdf4FY0Zq6vQCUplkG3jnYBjcltb8hf9OPGDGpVfJa3s428k5
N3J9zUrxmUKnQ1v15o7C0ozsse9uzZm3ObPcfVbNzSaO0zMOyJe4jb7IuhWhhHTOIjP9mBOt2PoL
v40nwQj0PK5bxSCzKwJpPuUmYAz0ZDM3bvQ6UC3DuWZeWMgRWLuhOXZefY85idIDAdUymGZKJSRa
2a4LD9uzpXg+y7ea+D1SVRqg86jh+6d5bX2VL4t5Uyspkm/7x/QtTg6Dv0uUYAm9o9u4Q+tuKG0e
duWAt2tS6mbZCu+cuSieUzYOO1+poEMMhSKsLAvNX9nw2PZkp7QAsuXiiT0Qx5IPidJUecxR1BPN
HTC3b721SDDuhFFuBXetUmX7b4F2UVqth2hLHykJSaD4BFvQ9EtPrJwaMYpz0EtRBNcC2Vc0HRAc
L2OCzGobajYmF05aZDl89k30QGJOnw1xUdtBHy6Twb4qMvKbBvzjKm0TVOXZOYoJ6FDnthMCAykg
YE9yOzvZVksQsmqK70OsA+k2zrOe+qCsvkVsCd7qTN1YbCVfW4ukbL0nrU9tF/B8reoPWI6XnU6E
dkctcEt3PNx2W8nhdqmLEyW5n+wB2zBPfefkTukHWGlW6qnMTtnQyEdSOS91os+c65HZ//ir3X9U
/n5D4kByWxwv5Ln38BbdzR9/telXyojfsQPgKMjvD6eP45jP5JiVPHeiiTfdKmEn/vsbsUtuWKIT
X/3Pm6zfrbvuRclf//SP/MMX+h8YPDENtZH6x+uwa8rr3tP69UOoddh/dv3AMqz7bXTlz6/wyybM
/pPDsE60AywtOXeCJn/dhHkwa2kDYRNGhJr8t/M7aO13LN0nWW1/77t+uwnzMZPx37nMHCRa/i1o
rfe3lRZqB2YS3KWWREVPflqFibrkFtVQ+5QWUbdfxmVaWZm+S9H5LxpN9/Ym7rB1TRBmxd0J02Nd
aGvKwoyVqXfxF7aC5lB6y3iclIrb6IhipVOwSVEaL+dNWKyAM0J6FPyVFtfpHsHPPdDoqqRbHqnI
FM2FCSnrvpdUWJQFDVqCy6yh1sCdvQLnhJKY9dHCQJXhwPWg+4ftSFdmUMP4rAl2nW3XtXaah/Dt
i+DdFqMexn4qeUphFcyopBjK+tFRwvZgQtTzldit0OBQ1RHARYaFbjZbJvD5uinLa5dnqjGrF4/x
+JK5blZ6EtFFpiR09gFoqK57iwbEgloJ7ZaS3JO5bU8eILZLvGPL5WBmYuf3sXtXK5neVLfQIiPe
OlUGPWZKyW+Vpp8pdd+UWTCvkAnLtat3l9LwcNvBPnipGMEPrAUTJuKugU2KZ2DBchZy3mawxoTw
g+Loh7n1Qe0qp4HA/wu0lbtPNuGrgV9r2e2zr/Kc8tujUCm7gs4dY1WNnYvr0lhD5Zao50a/TpTP
ocLwMCnng608EN404IYo+BVirYppsSKzjVo9rWSNdWIW+HJ6yeOUGbdf8wTBct662B6JeeCx87s3
aCTmhjSJvdJ73BlGr1FeF/jmRwBMHrRENJCDETycuqUn8Flz3FVWD0Cozl4krD9hjvRH2HjG2nXQ
y9OUv+U+Daejso7oQe/vANrgJ8HhZNFCh3lUEXuOKYC/0J0w0S09HcbajCBYKH9KGo/tqVeeFb4C
VMAKclBu3P4QeTKdC4s5tEnN5jDDtzsPY+xtTezla/JEHGThmGxaZYkZa9M6pmBYTrgdX9tEPoiC
Ys8yjq0T9+glRNoF5DAnw6M/2Nk6dwWlWZ4y4GhGlq7rhUqPSdlzXIPLasY5d0XDhIlDlLClbqbs
xWah77tSvC/K8ZPKIT15ygUUYwfKlS8I7DBmR4tjdKtcQ5byD+WSTgR/MMebQJ0wzFjCHprUuaMT
Luo5AaW9mPVp3anzScyGkXoqzizQzoAdcooZOM7E8Aj3BakoTjgsdaw4eNG05MxDqOG07O/LAnXM
UAckejzzjTXp5g7vHJ1m4llPyGF0XXYuF94/vpPYFNShq5yML5aMt5Y6jmmj/gX+Z2GxxVGtjR39
Aq5ijw8COl+ujnTx6BV7UHDOhU2rImTI9khU68vssfbr7hOsxgs4bu6ZKlD4+40F5Fgz4rsev/Ha
I62HbWZcDyYT46IKCYqohFRM3koJw/2PLrbLDUU9tAVSNH2Tyt5fkwIzuU+5zoNJI8NUODPYBJea
Vl1Oh4o2cGS6ytu7cF93bV1a0CBc64i7hS711HhsIUIeprq1eBzXMQ2BFA70bn2DccPdcwt8shuK
VBDDQxzubPPoJ0GFTTZeEzMxG5+wiczrFgvepYjrO0da42OSZD6vHZdhGefQwpqJYEgA9NJpuSXl
Sc7MXPMl78xBnGa8V6uhZ7kq62RTTQbXH/Ri+IuqyIIHEf/kxbfZMPQbS6euUMu7iHkH57AxJrAZ
E9O4x5jEPszszXBMOVgg4Pob6S7Nlu+C3GoptTitUxsZiJrkNSuTmSIM5p+uknKV9Qh6WVu+op2a
oZvxwuyTrJXrKPs7pOc2N72jlghANYKm3amsox2sC7lhx3U9tiXhPdMw0ELMa7vpdmAv39Kua/dT
Z4AJiMSxhd26w2Dzo8ITtC6c/pr5U4P9OE0SNxAdCV6g8TPE/bUB8ILC0ZzcXF/kexiFbUhBLHXx
dfI8xyxb3E4ZV7uam2+OWbj2t+rWCzLu5Og4/yNQ2gg0BJP0DtTS5NJXqFszlyHfKzPQ96zznrsl
dcJcGOIQR9yyKl/sPRP017KwYDQDdPbGgNxgRml+Y4Ezz+zhnLa9HgK9fuuCgTkxKy6WuLlq43HX
ltlmWpzP1sRrCMz3lGOYiBcc64Y0ynU8m3zTIDmFIH+f+hxAjlGXVyOmaHeqHkcv2pM0PMHauRCW
+c4A96qOyK5v37FqvokzthMOyeQUh5eirwEVqEmg2NayjqwetTtPH9nzamEblBXyk88TirkNoKIM
64YjfGCMV4uefsiudDfSnqlKcJaBFQado97cWFg++RroRU4Oe0ajondj3pAdZxVbzS/soOjn9PkK
T+rbF/eTuapTf5u3xClyGDdOsdBjn7PB585vJfr7RHEGm0emuloWX2UOIKDJxynsIp+6FkVmo+kR
V4B9gb+YFsKCT6zCD5IVznUGjg6fr7h22L+t8sWlhBQ3Rj0vj9/f8ciBOdt6PLZZra0Siic8nsmr
fkRemMz+hrbJlyTDG5Xb/qtWBrdzWXy1pcHbPNy2HT9TIhYY06KoyEIUlGPXWvv98mwRfpiWXLnY
G9cQ27jJDvaWA91en0YufofbXOl3Jb47nR6bgfSSZgJ3IxAf0+TaXlh8RTFtZF+VX25IjDT7qnbm
Zy4lWEhB9uVjoVqVWs0iIMeGMvUWkO+GDE3Uc9ACd0dxBT7aue4FwhWgNbj77MAj9npRO1wFTvHg
iboBCGpZB4xeFEtm3MNaj1yY2fOuDrZ79f3StWFGdza0VehBureKMu4LhldpYTJo/i52Bn9Nc+lr
ovNq+iDF4ftjFwpJYXXzRBhlAMYWaFhuy+KOh3BYNEyXiT7c5jluLbs2Hgk8G2oPPq/hUpRsixwT
ExPrioxwEb0JfB5jiqWj7ur3IQPHVpaf1cLtr6QeC3VW0hDnj5Jul1jJMJLrHTyv5iyvtCtAEdAn
PqWJedEd2EAi3GAgpwcricAbaHHOWnzIvjKThB+syorSonSbtjGY45KVhN5EO06NOhsN7m1YEtKd
AOS/shLEgqGpccY2xpXdGeb7FJsQYgefpscgJRwA07DuaRloiVCaePj9gQqGSOcTokT2wVXfAj7V
AsYcNeZGj+RIrUV5CYrs2rciirkqanKyZPzRlw1e+YKcRle7bMtn09x6JGaOLRCNVTBrsLh1dWPW
oyLdjF4utkQKJAcOUtwm9MibukVyKiWUacKkPgtNurQijd5m+LWPjiI+lpoSP5zqWUheszJICHgj
lspC2qiDlGiHnjk5IbeE5tgsi3WbMzWsFhl8kAz1uOEiC9UNZ8eJ7fvIGj2UC6efsjLP5kiqvcZF
STcBPpgmxlsSw6FYp71l3NKzx8edqvQtEtiul0lMdVFkrBYsUKdINFoIIVbZbpuS/SvPJJQenL3m
2DKewIPddX4Lu47+JLrdWqI1oy3PDPn4JHvqpL2SMV5Y5bhfGqykBeGOXUmaeMuMFYRpWz7DftK3
GNF5PDmBPGexc+/q6YlfC4s5Z9hZ5s3RX1hHlOooM6VUf1L0m+x7LJgXBmzBFw7qBu/jjN3cWTDC
sCbqD05QpNt+TD4IBaEdV7PJO8SBaVRWVT+d73gu9/8HQ/v/zTj+u7n+/yMbi2WDVvqnQ/vrf/9X
94fH1+5d/OF//WEzdPnrR/rbmf2XV/iVFWG6ihURMLAHVMSAa/iFFWH9yXbonlHtmTT3GYaal3+F
RTDhByagF9OG02WBP/jVvgJyxSO5AtXH/LeH9p+D+AzsrqfbBlySwDTdn7gyLrYybSkMyvXgQia4
zT0eVi6yOfWBzGV2ffjNe/V33B5/C6dwXWifnsW6wrawy/zerzLldQGMiwBKVdb1XmTilsjKozUm
/r+giLFy+JtfzeOMYvB54sX3zW+I0G+sMXapMUtEAcfcCYmhi888thomwPlHlnBTLixkCHpTLhud
+/GUWdVLldZ7gHE8ejJ0MPrcNxC+u0OFEWY1d8ODV716eblupWae4qp5I6DWHgdgz7uuBCSTyNpb
w2ulWxhxOhQatz53ydxdPhJw5dCnPYHXDK5jJs2OjJ89c5PtRLFceilPnWkebhrVoSY1Ehv14APF
XRKxkYtRbGk0i58sMxVHc5KbKS4J+qtGNlXN5rdGeqK1QrxVHcVtcvC622lkp9468xfdVSjCui3v
EOAvNcv/pE0UeVyVwS20wrWqHo5obbUWJgg0x1n8jWghWnj0yflWRlGlBouWNm8d/LOcaK0u8veR
1fsa2NAz/ucbQfZkByoAzaSLDjX1ddCJahjMHgf22eiuOtVyZ5N6s+bu3JjRDwC6/Wp08A2WtGT2
ePkA8trGZTC712lXPPhwajdUhGe3rirWk56lnWKid1vhaI9DY7XKuxKobQquao1yPnq22O7Q1xdr
FPdxW6wgpOuv2XepH2//2VdieexSeCazenpMVA1gpgoBLVUNmEKp3tI5Km8FvYFyGsWuGwuI0JpW
3nFCxJuvi2iTAXaigxxlg1I2lbvVX/3FME6mqigkqB+HsoPcHLuMr41aVOuYPNRZkmc7BPSnnsbD
lEDqjUvTZEjbtbOfWtc6TZiiiGGSTF6Z9CYa9CfiQ/fDSVUqloTsN6aqWTRhWK5Ml2WaUCWMozT4
fqliRk/FnjpV1ugSZz5acVRvmtrdFUwgK2ijFQNs0LFh6Lf0F9aHZfC7l5m+7TWcN1oPm2bcF9iM
T2XbnVovoNl9bDjqNJwd0H/6NxXHX7tYJzfaPATr0sZe1I8GvUtOc5dFiDO4ZA5GWz9pCjxhMY2s
hVZUrPCTuzFWI0hD+NSYmMssEnSrRveu5OIid4MEzqXLlDO/+NNymbr+DSuzzaiTghuKd72W7yT1
H/uo+WFxigmq6Ifo5aHvsyPv9X6hGo+L173VW8X8sie+Ge6CWz+/7LL0FW4MpzWzdh48n98+mePD
0GF/GME02z3G2Mxw7y29Epu8VtNig1+OtxwbRrlIzlnmq6+nN/CHn4gyRiHAwYu89h4sqlr7BLVW
yt2UTDt6uhJwC27ASaYEC2IP07uyt9iFsChGWd6Lkkq6rCLSTjQPLtsm5vgZOW9V3r/nMyaF/83e
mTTHbWRb+L/0usHAmAAW/RY1sgaWihQncYMgKQrzPOPXvy+LtCzJQ9utiH5cPHhjh6ySKpmJzLz3
nO8E+SI20ucJDEJjRNukkXqo6VZtu+s+7K+gSNz7epQtayN6xMD32BT92uc+NKeXeaxE/uLb9jrW
veNod8/Iq+dRkSW7DH79zNRIXiitDsUDB5r5kI23sRGubSu5N7lkAlS9R0f+Kc7SF6tOm5nmjmu/
Dp9U74sQHtG9ZezS/O5WCPKj8xxiCwx1fqQmo7nAZYTXMjVfUvp7M2wq284kV9yhkOKaxbXaAj+g
rLEBo4wmL83vowpqvaLsCle5Fp12zHzaHyq4XSgU9l7BWc3WYEACp0CIrAeSjZ32GAmVu6pvrzIE
KWDG2udp4vBN2tl9Ls/j+IqrmTGZ5woeezov3KZ8mwRBrprA+NNpFZOBi96nPASIpZoILZEGZrvH
tlYZifQhY/egc+YJIk3NMD7G8bDTSrPbsg63FOXmIoX2YGTjsXNr6sYhmYstJMgqNVeZt3IgZlec
Q7FcrUl8uW7LCNM7X6wYw0PRRAstmS7lNLZc+0rtCNjo5IZhBXJkgxojr3pgs9pk7Xg+ggND61bS
tlQxO/TaVYcECONafLSdhlqDqUFjVdQLKdoBirMHar7lhP1QCGoLOEsSYGzIIdy6REKejRtbQxuQ
cLGcaxo2VaOwH8IqWevjoPL6YCsuEt5GXmLm68j1v/Ra9Jj7yvWYIudo6xUNro+hzoc6w87Bl0lG
V8I9EALlUPe3XoAUm4A06lnOodcKbQlfGPNkbKzq8D6px48hqsgZ++ihxKw9V4xEn2eq8uJPlP1V
8Pa6I5UYLuV7Ve/hOewjMNxzUZvnpp3w4oNbm/v4JS3/49SAdNIaykqllC/i+D4ntXOrVMgDmPdM
IbMqJH+bGJUSVEnPTYw+6KFVpiN18DVBT/me5iVjDfV8ACEZN1uwgI8UeA5TWd07NEEbfRdpzjpP
y/MuVjCvdguHOuxpWYfa1dSWV0PInXFKso8RNcwi9C4FSRWqb6PTszZdhHG/ZRq7unpPT/Zcs5P7
qEBpUXjNtRWo+ETa/HMFL5GUmexLFwh0FlN49BXFXA1O9iLc6oseOOuiVWFXhy335HYB6egegxuF
iKnddV7wQgD8Y2xuYN1pvO6ce5nTQe+6Oifq9Kh05iE01WKH+zLlYFIvXG1aV2XGdSfKwBnivHIx
n0HwkJFod36d7rVU+TC4YHYt3CtNMrN1GzRMWB9pvMCLZr46GvSiJkzZ3Ohw42CMqaNgHWyfAwTQ
m8EimUMMt7hURmQhlbYaXFRnds/5ynQ8/mu6duJ25drNVRyKQ6kOz/grEe54nxRzF6vQctItIgf1
Q5mq2jNpE8SEYvWeOco21YIvZq4eO5juQeYcmugOwDzqPqpZaYMgRbeqG78iapzao3oTuwmVY+DB
815E6qInbw0Hi5edg+UEzCA1bK1UsyVS16ZIhRtwNsrhygQutJ/sS858FBOlJs7Hc4tbwGw2mlTM
BdTEqig0l3DPyhXYqWJuUqVdcpf11kKU4T4OeWumxGwvhdTkwTGwV2S9hed4ATmERHTjJ6nis6Se
T5PKvkRq/IDgF59gbZLjI7Ln3uUajnc/utBp6h3HOAtXFSnAfDDa39RMP3g6uemZJaan0vYQmkHm
2IvEYcd32nIdNWiBFb+G91NzSzROPnoRjygI0+J4aofzJ1DcdQljSkJNB0FCD1o1qYeprNSLGtMW
WCnRS5sPtiZdiTUamoh+OyfDdkTRbw3EQJl7mXsMKvOliQEc9SqHV8yr054f3H7sJjaL/CRG9mDu
RJIKoBbFBNtIue2RC9AIbAmm1WjtGT0sLAP5iu3n552iR58yoyrnDhm5cw1W/AfCKclvSlVnZ1Uj
ebHc2G3JI9AkmWCQjAJQEphYad6nEajAyLNv8DGrl/ijsRgD9URcNDZXfWbEQEUon7iSdiAmRqob
em0TSQwCm2jJaksedd+w1j26nO0YkAgV1oa+T8F474XkKITo4pY+BsePvR+Za9JntceRTFtQxAFS
IAlhaCSOofOlYHcic3yptg6kBslsIDoPtL5DCl4b3uDSCxZtNI0rNQXkEknIA4mE3qKu0LGnicUU
alhHva0RUum53ZZT+cpr8Po0kvUTpOdTbBzSFh9krqYNy1zn1NXr0yey7DAVp1RwYG1FHOimbhPV
EjrRspU8TS4Ns65OLKkJ15b2REYKWUgQyjzrwQ1Q3qVt2c5xOOxMPbIuJpPvN+Db4pzrXDuScIFZ
KpilwrwK7HDfeOOwKyQMo5VYDGuwDdqANDuLOnUvSfolYFzzggOL5EopLP7Y3hZgW+h4GrWTLasq
sLfwTKZ9VrCTRKrcknPKRjZCvxkRqDtu2s1MBz2zbiL5/YF/zRQR1FA7TEgTIUoNK7MFYr5+WpmK
fxP70XNFqiiNRe2OY85mUNyHYRw++lE9rlUfhpffa/kupt68ENwld/RRcGvrtUMZdmRAAHKHGxKn
SQozayBCEdlfqIt145Jb5MpE9731kArS1RXqSjq1hkrxltgbCboSwx1WyAsTLPlC64ti1alTtPJs
Cw4+oSsbIMAf6bxk66ie8pXaGzf//BVs6EnyXgXvYZv16RdMnfe2pPMVktOntQhg3ayf7hvVH9el
hPpFgf4SD+MN5GcbcaL/OcpswH9lR/2qzbq5WfTGUu269Dyld7VIqyk99wX6FFxo40wEfn0ZnciC
DdfqcywZWN3pE+7xiHAvAfYyS4vKmodWrS8hjJOBk1At5d6DAoko+ytqH/rMtLr2UyHZhqnIpot+
cDeAIeYl3YH7zuN4rNcVQtsTGrEV6iNXVKqYjsMhoif+h8UxV5IcP7XkKYqR5hkWg4s28M25IpTu
Ymhoh/o2uuxwwh1NWeMBXrq3qttwWzulmA0G19zQHt1jabEGp5ZsISLJsK8AywlQLS4NCYB01Iij
FDnltO3BQ3rJ9LnubSzbZYw6H7drAjScnhuHfL4kCmSKyecZ+XqzNIzS1T9/Nd600hIjUqQApbTJ
EDjBPuW1SNuVl1xaaegH9guVVt+qjhRr2au4goAvhZRYsOEE0pDjp2jM7ZH4NTevzUVvDo8dnfpl
j7d6FUlTj6Cpf/h/Wc7LiSr7b3mwxDR8U7aSxNk3kqw02/3rH8uhqV7Sx89t9YM17fT7vqpxAAVp
JuoCXTeo40lC6VcILJ5xClI8CGE0WxYUfynsqWcmXHAV2bJJd1GVMQdvhT3DPnOlcgY0vy0jqSHz
/8LEfSusYfSjrOq/5L9TaBM/QLItOm98kopBzQDyBlOJv9+31jAyp4xKcyGApxiz73nL1jMSu6KL
oY3AGORlccyDnD5RTdnyqsauBnXhrrQGvB8ErYKBS3zILtC4uMk12cepJvbXcrtm5w9NsOaybmxC
SGaHom4xyIKYO4JXPgbcvdo8zS77XsXw0FlWTj4joCjOUgT0qkH7gVjjJ98bAxl12h5FbmgLXQ3M
RYd3audFNSAkCIk7mqr+1kHXctXqQbt32wBQvMLHFdlNVBJOppYc0WwwxMvS7el+kO25sFBfb4VD
oulAdaQp+bC2QFYTd2A71Sh7JDar2sOGH7YmsWsWWW57B5reHogDFmA7FuWsatlpZ2lbYbgZ2eyS
TkFEenLOpepoXYw5taAch/x5VWIJCkU8HdQE8wP0un5RssteKpZLQHwvb2gcJue6TVgniXLDPjGm
ue6pXxqs8Hi+SOJ4GtVq+uLbrSAXVxefSdcBhejzkg3MvsIHQCwxoRuAPyovuq7ZYxcWf+y5H5u0
vCedZEody1Sp+1tNhwoZRmR0+gkIfAo09Orc8HM6OndUm7055p49iCRi+QKlR1fcAPAMY2vnQUpZ
a8a4b104H6asX1VGSbMDJYhpK+2usbTwUnh6swBWZXAioItmDyTNFtyCwck67YVPsukKZHJHACwH
LApHORdlNXuy82nYUqsgNE6p4quCEtQcjUu0jSOaM01oggewO+qYkB0YkkmABo8gnR1hFl2ZGhGz
s7ormoccxxk3gao+qjBfLgjY7G55v6qcjqAF9DZcTDVysBLnU0ZonE84NT43pXOXbhR4QA1ccgVg
LKZzf4RihKQzHHYD16hFCDuGIpB9HKklo46KKT3EyXNKWZkyFtcpfdDrGx32EqdOjEMt1VAOelZb
UH4wskPnSjloEmu3Q8WtSNdFj1pY1ko7UF4Fpsl5MVjaujUrccnCK5YCgNqLYZjBwu2C+MFgs+RC
6kMWbftsF+Q6oodG5wcdttBZlXrVeFO/J6OtoNQWJMYnTm72XZjDT5yXUIsvRhd/k+PExUVS0Kqt
EYLlNHKXCkSq21it7v0siHfkVdp4NAp/jRZnalYhCA48bZ7ZbXRFC/fh6GSrqsEb5tlmD0oWwpY8
mqnnZavKLCxUXhmsRScyBaJv3m7zfmioIUH0O7ZWqKwIJQ8fpgbtEXlXxh2AvXw+8C+OxZTVDMVd
kAcKXanwiRxDGbzCW3MgzBunjGPZpbIULhdNqdq6bZSmwyFDBhm8VT9+Rjn8ZBXktFGGg6yBtCRq
KScqVnVItBFda9n1q9ax+nlkVeGqtUaOrkV/P0Rcqaquug2TiPeFDpHCK1FLzlVyxDa9+tCAznqg
Q2xvJlA/E5wOz99UWpUfSsjQT2pkOddx2zntTAE9Qe4RLjhynX0ArFayBFoBs8WYVv4YI7vCT7Ip
jTpoZyLtkjuCik69yxH+rIhnQd7pj20zlcY8qvrhg47yggSo0PjQxygfgHtOK34f7iWjpnSVVTCu
0jJq8BhijYfoTxS6dMvXURfdl+GIGBDi3YcOb8pDRpfywyit9qXapReTtN+7PSpgBX/LeTMo5ac6
AM/kwBm4wa2Cv1Ca+Htak3eQuPzn4eTzr6Tl35Tm/7yo69XoAwSgRhM/EFsazmOJC7AlOABYBAyB
voiihxrry1MrEQO6R+3mpLQLBcB8cWIR1Aa21zpsawKuR95UvPpuQBXQ4o/rZGO2o34JZC2gkcHp
GY/plqM5qNwTA8E54RAkGKGUiAQceNmFJbEJxomgMMBSwIcYEZjpQgtq6okaHjcdxYouLGYA1Gxw
DOGJzCAGykpAr3e1pDZIfIPnF/1BOBb3edAOfdLedhL24LxyHyQCIm4lDYKN3LrN0BPOGjBW51Fg
Es/cuRZANdW+CgYdq3csSckSNJFVTkKOIxxCzoMO9x8MJ51w0oVp9J99AJgHAa1kjvXvRQhNvwgb
oR3LMRT4jiH9raYK5AW2WmcOSBInDZCQYd3ESnfjSkxGacbKomFt7XtSzGB6G+beqABr+A6IjVHC
NlrEpPDsgEOFoWgeVAnliHrX3foS1AHtCi1RI/EdlL/G5SCRHrof5iujImeP8gu7gmE5xW0ABWwO
sii47PSs/3TKCoR8LTNzVAeMVEtgYKsMnwp3PCYcMra0FSLEXthtlEoftio36Zgr6YSo1KmegkE1
X+MDU/zs1BJNl/YHqwpRAthaIsVPEYJl5E+kUcYx+/LXGEG/IljPlF0yVPXaDY5ncNauOwWLRvka
KBiVinLdIk1RshEvNd+b0l1pV2CeKyQRX+MFNcWJ0FZF5ZNBiGqFMsu7xhAOXwXo0/q3QYMEPoRo
kcLS1uanoEEbmhmVG06HGAiJrFNnnm3rc7suGnp0FEy6Qt6JhEwexKv82IGrJbXZ7/9O/OAURvkN
RC6mVA3R8vwPgwhDdrpl7xXGDnXFusXad+uNBVS7r4mEhJuCf58qTGtdlFcHHeELaqjxayyhnyWX
/tdYQk0E2YcCbBt8qKmZCBF5yyZE0UWaB2WCc01mE5ZWjItpCteBruj3gg2rnQ81WHO9EO3xNaQQ
/rX43BjoYppTUKE6cByY2x7OxF/TCiPbcPw1AelFjU09e/mjyELbqON1MzVLuFwsoFLavn5ILUzU
qMzw3prot1ALKwBNFPveC7O9IfHbfYdFNaxwbxZ2SSlViz94SXxzCjIUStHOaf/Wi8IRKZhCxMDf
pxki6CmXRuwizY2SI8KodO7qtChUsEDMAT8yFrXlTC8k4/lHDLzlhj+8p8ybV59ECUN3FqgxF1c0
TVGr+zeK4oSHHL8RAFte9ErU2fa8NCv3Lm4jsYxtS8vnbMHKVWZ2+a4mG5lTi949RrY3fKmUlKBK
3U8XUexZqykJnYU9JrQy+ERMLH00LQdEjAtCwDzgjlZ+0eV0qAm08TemrnZfsKks9YL91eubp1LR
OZy0ElaUjgnlArzKM20MCsxQsfic6tQ+EDoLJE3iWe9s9ZUD8V/jpvyE/+Pt7/i7ySNf71zyV085
GNckUf2QXfKX/qdfLm+//0F/Lcrk99Qpp7/UKUjlzz4jgUfatJ+53ZrGmWoaGqIIgpnkw+0Uoj9C
otMvK/qZ0GxurvQnXh/STfCwfDNIfzQMf/4Nfxvz8tvP+bNv8Hq333z+1z84d2vcZr8z1vztUeBr
CkdFSWO9fkvEN9+OgnYmTEEaIWSXt+f9jYIhkNf81CgYzhnhNqqQcpzT88Nc0KhWIEPSgOW8Pq91
k3c0F1zyd0gS+clxMPUzkmzwQsmcq2+ngX5G/YYqDuqtdzoAsI9k6emnpgFfH4YQmjKbtf7t16ck
hUDN0Dk+vz5glN7Xu0AjBe5nv73GD9nVCcx7m+U/DIJ6hoGOiCECM9+e1/F+R6tAYxULU5YAf2oe
GO6Z5ZAha+IE/G4esGVwmUciyGx4fd7bPDA1W6K3furrmwR7ufxjiFPtFuTYd6PANNEdSqquRIrJ
5929DN+mAe+wnxsHmGuMgqGyA54eitTfvhXMM9VAUYkN720yvLu3AspY2xY/Ox9YDkKjCicY19Pz
/XzQz1wLx8uva+J1+b2r18JvOx1/96DEINDMM3Sh0bWQz/eDoIgzjRwiFIpva0ZmT7+vLcIwbf31
DPvaPfl6AP8bh2ZGgXqmbnNqfpvz3y8J9cySZ2ok2W+/7L46v9/RZPgdN/rfnQtcHXRXN2Atvq2I
H3ZK64zDAj2srxvlu3xDOgQo/+wbkjaea1omh6/Xn/cPx0bjjFRUTQjO1q/P6/x7R7PhdaswXmfp
f74u5JaJr4bl//b88HYwz6RRAQLnLwPx/o5OCFx/cjbQuTWFQRlFvN2imF7f75f8EuOD8Oz1+b9a
Fs8IPcBuX71Qzv0u4pQ2xF8bgx8+4ZuqgipfkLwBfzkT/GZFWLwhqWj/B2PwF5bNGwP3OXl5rP7n
fwEAAP//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microsoft.com/office/2014/relationships/chartEx" Target="../charts/chartEx4.xml"/><Relationship Id="rId2" Type="http://schemas.openxmlformats.org/officeDocument/2006/relationships/chart" Target="../charts/chart2.xml"/><Relationship Id="rId16" Type="http://schemas.microsoft.com/office/2014/relationships/chartEx" Target="../charts/chartEx3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microsoft.com/office/2014/relationships/chartEx" Target="../charts/chartEx2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5" Type="http://schemas.openxmlformats.org/officeDocument/2006/relationships/chart" Target="../charts/chart2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1.xml"/><Relationship Id="rId13" Type="http://schemas.openxmlformats.org/officeDocument/2006/relationships/chart" Target="../charts/chart56.xml"/><Relationship Id="rId3" Type="http://schemas.openxmlformats.org/officeDocument/2006/relationships/chart" Target="../charts/chart46.xml"/><Relationship Id="rId7" Type="http://schemas.openxmlformats.org/officeDocument/2006/relationships/chart" Target="../charts/chart50.xml"/><Relationship Id="rId12" Type="http://schemas.openxmlformats.org/officeDocument/2006/relationships/chart" Target="../charts/chart55.xml"/><Relationship Id="rId17" Type="http://schemas.openxmlformats.org/officeDocument/2006/relationships/chart" Target="../charts/chart60.xml"/><Relationship Id="rId2" Type="http://schemas.openxmlformats.org/officeDocument/2006/relationships/chart" Target="../charts/chart45.xml"/><Relationship Id="rId16" Type="http://schemas.openxmlformats.org/officeDocument/2006/relationships/chart" Target="../charts/chart59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11" Type="http://schemas.openxmlformats.org/officeDocument/2006/relationships/chart" Target="../charts/chart54.xml"/><Relationship Id="rId5" Type="http://schemas.openxmlformats.org/officeDocument/2006/relationships/chart" Target="../charts/chart48.xml"/><Relationship Id="rId15" Type="http://schemas.openxmlformats.org/officeDocument/2006/relationships/chart" Target="../charts/chart58.xml"/><Relationship Id="rId10" Type="http://schemas.openxmlformats.org/officeDocument/2006/relationships/chart" Target="../charts/chart53.xml"/><Relationship Id="rId4" Type="http://schemas.openxmlformats.org/officeDocument/2006/relationships/chart" Target="../charts/chart47.xml"/><Relationship Id="rId9" Type="http://schemas.openxmlformats.org/officeDocument/2006/relationships/chart" Target="../charts/chart52.xml"/><Relationship Id="rId14" Type="http://schemas.openxmlformats.org/officeDocument/2006/relationships/chart" Target="../charts/chart5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5</xdr:row>
      <xdr:rowOff>196850</xdr:rowOff>
    </xdr:from>
    <xdr:to>
      <xdr:col>12</xdr:col>
      <xdr:colOff>787400</xdr:colOff>
      <xdr:row>19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A330725-80C5-06A7-18A5-F9B927FB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450850</xdr:colOff>
      <xdr:row>33</xdr:row>
      <xdr:rowOff>57150</xdr:rowOff>
    </xdr:from>
    <xdr:to>
      <xdr:col>11</xdr:col>
      <xdr:colOff>69850</xdr:colOff>
      <xdr:row>46</xdr:row>
      <xdr:rowOff>158750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AD10D7F-008E-B11F-A159-4B0B65033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450850</xdr:colOff>
      <xdr:row>70</xdr:row>
      <xdr:rowOff>57150</xdr:rowOff>
    </xdr:from>
    <xdr:to>
      <xdr:col>12</xdr:col>
      <xdr:colOff>304800</xdr:colOff>
      <xdr:row>83</xdr:row>
      <xdr:rowOff>158750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25E4632-E1A2-B818-D40A-7FA226864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450850</xdr:colOff>
      <xdr:row>99</xdr:row>
      <xdr:rowOff>69850</xdr:rowOff>
    </xdr:from>
    <xdr:to>
      <xdr:col>11</xdr:col>
      <xdr:colOff>812800</xdr:colOff>
      <xdr:row>112</xdr:row>
      <xdr:rowOff>158750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B64BC23-32FF-EFAB-5737-2E642E844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450850</xdr:colOff>
      <xdr:row>114</xdr:row>
      <xdr:rowOff>19050</xdr:rowOff>
    </xdr:from>
    <xdr:to>
      <xdr:col>11</xdr:col>
      <xdr:colOff>69850</xdr:colOff>
      <xdr:row>127</xdr:row>
      <xdr:rowOff>82550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EA8A180-3279-D061-DEC7-C5F3A3958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82550</xdr:colOff>
      <xdr:row>113</xdr:row>
      <xdr:rowOff>184150</xdr:rowOff>
    </xdr:from>
    <xdr:to>
      <xdr:col>16</xdr:col>
      <xdr:colOff>527050</xdr:colOff>
      <xdr:row>127</xdr:row>
      <xdr:rowOff>44450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689CB9F-6592-73C5-9EDB-1039C1644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438150</xdr:colOff>
      <xdr:row>127</xdr:row>
      <xdr:rowOff>69850</xdr:rowOff>
    </xdr:from>
    <xdr:to>
      <xdr:col>11</xdr:col>
      <xdr:colOff>57150</xdr:colOff>
      <xdr:row>140</xdr:row>
      <xdr:rowOff>146050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511212F-0C76-2E61-1332-059333A7F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107950</xdr:colOff>
      <xdr:row>127</xdr:row>
      <xdr:rowOff>44450</xdr:rowOff>
    </xdr:from>
    <xdr:to>
      <xdr:col>16</xdr:col>
      <xdr:colOff>552450</xdr:colOff>
      <xdr:row>140</xdr:row>
      <xdr:rowOff>120650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2594352-A980-3684-6D5E-091CEFDAD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615950</xdr:colOff>
      <xdr:row>141</xdr:row>
      <xdr:rowOff>209550</xdr:rowOff>
    </xdr:from>
    <xdr:to>
      <xdr:col>11</xdr:col>
      <xdr:colOff>234950</xdr:colOff>
      <xdr:row>155</xdr:row>
      <xdr:rowOff>82550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5A0A6E3-19B2-82CB-517A-03809F683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241300</xdr:colOff>
      <xdr:row>141</xdr:row>
      <xdr:rowOff>196850</xdr:rowOff>
    </xdr:from>
    <xdr:to>
      <xdr:col>16</xdr:col>
      <xdr:colOff>685800</xdr:colOff>
      <xdr:row>155</xdr:row>
      <xdr:rowOff>69850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7710089-1A56-EFCA-CF39-CEAC83B59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679450</xdr:colOff>
      <xdr:row>155</xdr:row>
      <xdr:rowOff>95250</xdr:rowOff>
    </xdr:from>
    <xdr:to>
      <xdr:col>11</xdr:col>
      <xdr:colOff>298450</xdr:colOff>
      <xdr:row>168</xdr:row>
      <xdr:rowOff>196850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203CE338-C59E-12C3-CD70-EF69656B8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285750</xdr:colOff>
      <xdr:row>155</xdr:row>
      <xdr:rowOff>57150</xdr:rowOff>
    </xdr:from>
    <xdr:to>
      <xdr:col>16</xdr:col>
      <xdr:colOff>730250</xdr:colOff>
      <xdr:row>168</xdr:row>
      <xdr:rowOff>158750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15A4C3E-D655-A71C-32C4-1BD9543C5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647700</xdr:colOff>
      <xdr:row>216</xdr:row>
      <xdr:rowOff>76200</xdr:rowOff>
    </xdr:from>
    <xdr:to>
      <xdr:col>13</xdr:col>
      <xdr:colOff>408684</xdr:colOff>
      <xdr:row>242</xdr:row>
      <xdr:rowOff>32834</xdr:rowOff>
    </xdr:to>
    <xdr:graphicFrame macro="">
      <xdr:nvGraphicFramePr>
        <xdr:cNvPr id="2" name="7 Gráfico">
          <a:extLst>
            <a:ext uri="{FF2B5EF4-FFF2-40B4-BE49-F238E27FC236}">
              <a16:creationId xmlns:a16="http://schemas.microsoft.com/office/drawing/2014/main" id="{64A0AA1F-40A5-4742-9167-6EB822F1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84666</xdr:colOff>
      <xdr:row>161</xdr:row>
      <xdr:rowOff>8467</xdr:rowOff>
    </xdr:from>
    <xdr:to>
      <xdr:col>13</xdr:col>
      <xdr:colOff>423333</xdr:colOff>
      <xdr:row>174</xdr:row>
      <xdr:rowOff>110067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EF1BB2C-DC38-DBE1-97CA-001B23797C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63566" y="32876067"/>
              <a:ext cx="45296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381001</xdr:colOff>
      <xdr:row>174</xdr:row>
      <xdr:rowOff>76201</xdr:rowOff>
    </xdr:from>
    <xdr:to>
      <xdr:col>12</xdr:col>
      <xdr:colOff>719668</xdr:colOff>
      <xdr:row>187</xdr:row>
      <xdr:rowOff>177801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D6B26F2A-33C6-15A7-E3CF-4B644EFCB8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21701" y="35585401"/>
              <a:ext cx="45296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12</xdr:col>
      <xdr:colOff>313267</xdr:colOff>
      <xdr:row>170</xdr:row>
      <xdr:rowOff>76200</xdr:rowOff>
    </xdr:from>
    <xdr:to>
      <xdr:col>17</xdr:col>
      <xdr:colOff>651933</xdr:colOff>
      <xdr:row>183</xdr:row>
      <xdr:rowOff>177800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3196D760-F394-ECB0-FDED-D5C3687BB0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44967" y="34772600"/>
              <a:ext cx="452966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567267</xdr:colOff>
      <xdr:row>171</xdr:row>
      <xdr:rowOff>127001</xdr:rowOff>
    </xdr:from>
    <xdr:to>
      <xdr:col>14</xdr:col>
      <xdr:colOff>59267</xdr:colOff>
      <xdr:row>185</xdr:row>
      <xdr:rowOff>25401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30268815-22D3-7A2D-A955-B8A5EF2683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6167" y="35026601"/>
              <a:ext cx="4521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79375</xdr:colOff>
      <xdr:row>3</xdr:row>
      <xdr:rowOff>158751</xdr:rowOff>
    </xdr:from>
    <xdr:to>
      <xdr:col>15</xdr:col>
      <xdr:colOff>555624</xdr:colOff>
      <xdr:row>19</xdr:row>
      <xdr:rowOff>79376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97071-D12B-AC5B-9D7D-06101E6BC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603249</xdr:colOff>
      <xdr:row>21</xdr:row>
      <xdr:rowOff>9524</xdr:rowOff>
    </xdr:from>
    <xdr:to>
      <xdr:col>13</xdr:col>
      <xdr:colOff>809625</xdr:colOff>
      <xdr:row>33</xdr:row>
      <xdr:rowOff>174624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1EC6B5-76E3-01BE-E668-8AABEC03F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396875</xdr:colOff>
      <xdr:row>35</xdr:row>
      <xdr:rowOff>73025</xdr:rowOff>
    </xdr:from>
    <xdr:to>
      <xdr:col>14</xdr:col>
      <xdr:colOff>492125</xdr:colOff>
      <xdr:row>52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5E9797-CC63-FF66-8FE4-961F91F21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666749</xdr:colOff>
      <xdr:row>54</xdr:row>
      <xdr:rowOff>104774</xdr:rowOff>
    </xdr:from>
    <xdr:to>
      <xdr:col>12</xdr:col>
      <xdr:colOff>523874</xdr:colOff>
      <xdr:row>66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54FF7E-FBB1-8973-098C-8190B8EB0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1539875</xdr:colOff>
      <xdr:row>72</xdr:row>
      <xdr:rowOff>565149</xdr:rowOff>
    </xdr:from>
    <xdr:to>
      <xdr:col>9</xdr:col>
      <xdr:colOff>857250</xdr:colOff>
      <xdr:row>77</xdr:row>
      <xdr:rowOff>555624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D5E052-0866-4317-DA84-0566D653D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47625</xdr:colOff>
      <xdr:row>80</xdr:row>
      <xdr:rowOff>104774</xdr:rowOff>
    </xdr:from>
    <xdr:to>
      <xdr:col>9</xdr:col>
      <xdr:colOff>0</xdr:colOff>
      <xdr:row>96</xdr:row>
      <xdr:rowOff>31749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75C80F7-2D29-9EC8-4787-1EE365EAA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467401</xdr:colOff>
      <xdr:row>99</xdr:row>
      <xdr:rowOff>28524</xdr:rowOff>
    </xdr:from>
    <xdr:to>
      <xdr:col>6</xdr:col>
      <xdr:colOff>458032</xdr:colOff>
      <xdr:row>112</xdr:row>
      <xdr:rowOff>23527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8201F0-3994-6E69-9447-C2C568F71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1154451</xdr:colOff>
      <xdr:row>113</xdr:row>
      <xdr:rowOff>122211</xdr:rowOff>
    </xdr:from>
    <xdr:to>
      <xdr:col>7</xdr:col>
      <xdr:colOff>437213</xdr:colOff>
      <xdr:row>123</xdr:row>
      <xdr:rowOff>72869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9457F4-B0FF-4892-E097-99BB271CD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894205</xdr:colOff>
      <xdr:row>123</xdr:row>
      <xdr:rowOff>195080</xdr:rowOff>
    </xdr:from>
    <xdr:to>
      <xdr:col>6</xdr:col>
      <xdr:colOff>511123</xdr:colOff>
      <xdr:row>137</xdr:row>
      <xdr:rowOff>158854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00FB05-4E0D-571D-CA7A-BA472B58C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561090</xdr:colOff>
      <xdr:row>132</xdr:row>
      <xdr:rowOff>101391</xdr:rowOff>
    </xdr:from>
    <xdr:to>
      <xdr:col>11</xdr:col>
      <xdr:colOff>552762</xdr:colOff>
      <xdr:row>145</xdr:row>
      <xdr:rowOff>106804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CB5D71B-0AE7-4822-FA82-0C5603381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488222</xdr:colOff>
      <xdr:row>141</xdr:row>
      <xdr:rowOff>70162</xdr:rowOff>
    </xdr:from>
    <xdr:to>
      <xdr:col>6</xdr:col>
      <xdr:colOff>105140</xdr:colOff>
      <xdr:row>154</xdr:row>
      <xdr:rowOff>13116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75F987A-E70A-346A-EA93-2E38D2FEF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238385</xdr:colOff>
      <xdr:row>150</xdr:row>
      <xdr:rowOff>174261</xdr:rowOff>
    </xdr:from>
    <xdr:to>
      <xdr:col>11</xdr:col>
      <xdr:colOff>230057</xdr:colOff>
      <xdr:row>164</xdr:row>
      <xdr:rowOff>117215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FD8BDD2-5E55-1B3C-301B-EC399DCCE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373713</xdr:colOff>
      <xdr:row>158</xdr:row>
      <xdr:rowOff>18113</xdr:rowOff>
    </xdr:from>
    <xdr:to>
      <xdr:col>5</xdr:col>
      <xdr:colOff>906696</xdr:colOff>
      <xdr:row>171</xdr:row>
      <xdr:rowOff>190083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80A4B87-AA10-F6C0-2CF4-4DA7D8822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103057</xdr:colOff>
      <xdr:row>169</xdr:row>
      <xdr:rowOff>184670</xdr:rowOff>
    </xdr:from>
    <xdr:to>
      <xdr:col>11</xdr:col>
      <xdr:colOff>94729</xdr:colOff>
      <xdr:row>183</xdr:row>
      <xdr:rowOff>158854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C0A9489-C578-A6BE-56E2-E1EB7D1D8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186336</xdr:colOff>
      <xdr:row>182</xdr:row>
      <xdr:rowOff>59752</xdr:rowOff>
    </xdr:from>
    <xdr:to>
      <xdr:col>5</xdr:col>
      <xdr:colOff>719319</xdr:colOff>
      <xdr:row>196</xdr:row>
      <xdr:rowOff>33935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47EDC88-D54D-069E-C831-AC69F7A79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603249</xdr:colOff>
      <xdr:row>35</xdr:row>
      <xdr:rowOff>184149</xdr:rowOff>
    </xdr:from>
    <xdr:to>
      <xdr:col>24</xdr:col>
      <xdr:colOff>269874</xdr:colOff>
      <xdr:row>53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9C6C88-09B4-7AF8-2CA5-0F6FDCCCA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285750</xdr:colOff>
      <xdr:row>73</xdr:row>
      <xdr:rowOff>168275</xdr:rowOff>
    </xdr:from>
    <xdr:to>
      <xdr:col>26</xdr:col>
      <xdr:colOff>254000</xdr:colOff>
      <xdr:row>86</xdr:row>
      <xdr:rowOff>117475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5914F7-B744-CB2F-EF33-78BC16662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571500</xdr:colOff>
      <xdr:row>87</xdr:row>
      <xdr:rowOff>136525</xdr:rowOff>
    </xdr:from>
    <xdr:to>
      <xdr:col>28</xdr:col>
      <xdr:colOff>539750</xdr:colOff>
      <xdr:row>102</xdr:row>
      <xdr:rowOff>22225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91E565-3F81-E8D3-CB1F-F288E18D1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730250</xdr:colOff>
      <xdr:row>89</xdr:row>
      <xdr:rowOff>184150</xdr:rowOff>
    </xdr:from>
    <xdr:to>
      <xdr:col>34</xdr:col>
      <xdr:colOff>381000</xdr:colOff>
      <xdr:row>104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B74450-AD38-1D2F-3B90-D8B3DE66E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555625</xdr:colOff>
      <xdr:row>102</xdr:row>
      <xdr:rowOff>88900</xdr:rowOff>
    </xdr:from>
    <xdr:to>
      <xdr:col>27</xdr:col>
      <xdr:colOff>523875</xdr:colOff>
      <xdr:row>116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887ABC-78B7-59CA-C10D-CD25CFB86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317500</xdr:colOff>
      <xdr:row>106</xdr:row>
      <xdr:rowOff>41275</xdr:rowOff>
    </xdr:from>
    <xdr:to>
      <xdr:col>34</xdr:col>
      <xdr:colOff>254000</xdr:colOff>
      <xdr:row>120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41E9CF-D2A9-B457-B591-37C82D2DE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476250</xdr:colOff>
      <xdr:row>116</xdr:row>
      <xdr:rowOff>168274</xdr:rowOff>
    </xdr:from>
    <xdr:to>
      <xdr:col>21</xdr:col>
      <xdr:colOff>571500</xdr:colOff>
      <xdr:row>132</xdr:row>
      <xdr:rowOff>79374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5F30F2-08E4-3826-8677-A9856FD87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679041</xdr:colOff>
      <xdr:row>0</xdr:row>
      <xdr:rowOff>0</xdr:rowOff>
    </xdr:from>
    <xdr:to>
      <xdr:col>11</xdr:col>
      <xdr:colOff>194597</xdr:colOff>
      <xdr:row>11</xdr:row>
      <xdr:rowOff>35027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CF3F3C-3F5F-29C2-BBA8-F33659448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289845</xdr:colOff>
      <xdr:row>5</xdr:row>
      <xdr:rowOff>98116</xdr:rowOff>
    </xdr:from>
    <xdr:to>
      <xdr:col>15</xdr:col>
      <xdr:colOff>634998</xdr:colOff>
      <xdr:row>17</xdr:row>
      <xdr:rowOff>112661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18BEBF-207F-241F-3E97-D5C01EA57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238637</xdr:colOff>
      <xdr:row>15</xdr:row>
      <xdr:rowOff>118601</xdr:rowOff>
    </xdr:from>
    <xdr:to>
      <xdr:col>11</xdr:col>
      <xdr:colOff>788629</xdr:colOff>
      <xdr:row>27</xdr:row>
      <xdr:rowOff>92177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B99195-B34C-9BD0-27F0-9C7F24AEC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578083</xdr:colOff>
      <xdr:row>21</xdr:row>
      <xdr:rowOff>177239</xdr:rowOff>
    </xdr:from>
    <xdr:to>
      <xdr:col>11</xdr:col>
      <xdr:colOff>615978</xdr:colOff>
      <xdr:row>32</xdr:row>
      <xdr:rowOff>120089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E55586-749A-771A-4645-B04E6F613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545895</xdr:colOff>
      <xdr:row>38</xdr:row>
      <xdr:rowOff>118602</xdr:rowOff>
    </xdr:from>
    <xdr:to>
      <xdr:col>10</xdr:col>
      <xdr:colOff>860322</xdr:colOff>
      <xdr:row>50</xdr:row>
      <xdr:rowOff>30726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4C291D-7E9C-B058-64FC-E96B30B4A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556137</xdr:colOff>
      <xdr:row>50</xdr:row>
      <xdr:rowOff>87875</xdr:rowOff>
    </xdr:from>
    <xdr:to>
      <xdr:col>9</xdr:col>
      <xdr:colOff>307258</xdr:colOff>
      <xdr:row>60</xdr:row>
      <xdr:rowOff>10242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9DE64B-EFBD-C453-F513-293140B82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361541</xdr:colOff>
      <xdr:row>57</xdr:row>
      <xdr:rowOff>149328</xdr:rowOff>
    </xdr:from>
    <xdr:to>
      <xdr:col>13</xdr:col>
      <xdr:colOff>542823</xdr:colOff>
      <xdr:row>68</xdr:row>
      <xdr:rowOff>71693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66D211-B0B3-BFBD-287A-0BD27C8E3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289847</xdr:colOff>
      <xdr:row>94</xdr:row>
      <xdr:rowOff>5940</xdr:rowOff>
    </xdr:from>
    <xdr:to>
      <xdr:col>10</xdr:col>
      <xdr:colOff>304186</xdr:colOff>
      <xdr:row>107</xdr:row>
      <xdr:rowOff>188656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632E37-9DA3-1F07-FF91-FDE290396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863395</xdr:colOff>
      <xdr:row>0</xdr:row>
      <xdr:rowOff>98118</xdr:rowOff>
    </xdr:from>
    <xdr:to>
      <xdr:col>12</xdr:col>
      <xdr:colOff>471129</xdr:colOff>
      <xdr:row>10</xdr:row>
      <xdr:rowOff>184355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C4D1B1-9828-A30E-8DDA-EA051A05A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832670</xdr:colOff>
      <xdr:row>2</xdr:row>
      <xdr:rowOff>180053</xdr:rowOff>
    </xdr:from>
    <xdr:to>
      <xdr:col>16</xdr:col>
      <xdr:colOff>645242</xdr:colOff>
      <xdr:row>12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71E389-C1B6-12D8-39E0-FB8028C57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187428</xdr:colOff>
      <xdr:row>9</xdr:row>
      <xdr:rowOff>57150</xdr:rowOff>
    </xdr:from>
    <xdr:to>
      <xdr:col>8</xdr:col>
      <xdr:colOff>542823</xdr:colOff>
      <xdr:row>19</xdr:row>
      <xdr:rowOff>71694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51414E-207E-CA38-72C2-8BBD435CD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760977</xdr:colOff>
      <xdr:row>13</xdr:row>
      <xdr:rowOff>46908</xdr:rowOff>
    </xdr:from>
    <xdr:to>
      <xdr:col>12</xdr:col>
      <xdr:colOff>727178</xdr:colOff>
      <xdr:row>21</xdr:row>
      <xdr:rowOff>163871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2921AE3-066B-53CF-60FD-0B93D0B91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607347</xdr:colOff>
      <xdr:row>23</xdr:row>
      <xdr:rowOff>98119</xdr:rowOff>
    </xdr:from>
    <xdr:to>
      <xdr:col>9</xdr:col>
      <xdr:colOff>860322</xdr:colOff>
      <xdr:row>37</xdr:row>
      <xdr:rowOff>14544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B1AC58C-7241-82E0-F7BA-7EDDC1B0C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679040</xdr:colOff>
      <xdr:row>39</xdr:row>
      <xdr:rowOff>16182</xdr:rowOff>
    </xdr:from>
    <xdr:to>
      <xdr:col>10</xdr:col>
      <xdr:colOff>901289</xdr:colOff>
      <xdr:row>52</xdr:row>
      <xdr:rowOff>65753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A14EE44-1F33-E9B0-EB95-DF96D0BEF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504926</xdr:colOff>
      <xdr:row>51</xdr:row>
      <xdr:rowOff>180054</xdr:rowOff>
    </xdr:from>
    <xdr:to>
      <xdr:col>12</xdr:col>
      <xdr:colOff>809113</xdr:colOff>
      <xdr:row>64</xdr:row>
      <xdr:rowOff>229624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6784505-A7EC-E7FF-A137-C0D15A6AF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720008</xdr:colOff>
      <xdr:row>59</xdr:row>
      <xdr:rowOff>159569</xdr:rowOff>
    </xdr:from>
    <xdr:to>
      <xdr:col>18</xdr:col>
      <xdr:colOff>450646</xdr:colOff>
      <xdr:row>71</xdr:row>
      <xdr:rowOff>102420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DE7E387-50BE-1785-CFCE-5DA168F74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351297</xdr:colOff>
      <xdr:row>66</xdr:row>
      <xdr:rowOff>87877</xdr:rowOff>
    </xdr:from>
    <xdr:to>
      <xdr:col>12</xdr:col>
      <xdr:colOff>307258</xdr:colOff>
      <xdr:row>79</xdr:row>
      <xdr:rowOff>137448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E8454D8-C2DC-9784-C0C6-DD0638B95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74767</xdr:colOff>
      <xdr:row>75</xdr:row>
      <xdr:rowOff>149327</xdr:rowOff>
    </xdr:from>
    <xdr:to>
      <xdr:col>17</xdr:col>
      <xdr:colOff>850081</xdr:colOff>
      <xdr:row>89</xdr:row>
      <xdr:rowOff>4302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354F392-9BFF-C8D7-E576-76208A909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904362</xdr:colOff>
      <xdr:row>80</xdr:row>
      <xdr:rowOff>128844</xdr:rowOff>
    </xdr:from>
    <xdr:to>
      <xdr:col>11</xdr:col>
      <xdr:colOff>256047</xdr:colOff>
      <xdr:row>93</xdr:row>
      <xdr:rowOff>106721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7BB865F-9853-BC6B-8A9D-F9E0445A1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269361</xdr:colOff>
      <xdr:row>93</xdr:row>
      <xdr:rowOff>57150</xdr:rowOff>
    </xdr:from>
    <xdr:to>
      <xdr:col>11</xdr:col>
      <xdr:colOff>81935</xdr:colOff>
      <xdr:row>103</xdr:row>
      <xdr:rowOff>92177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36042A2-CC46-AA10-453A-471AC49ED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689283</xdr:colOff>
      <xdr:row>100</xdr:row>
      <xdr:rowOff>57150</xdr:rowOff>
    </xdr:from>
    <xdr:to>
      <xdr:col>17</xdr:col>
      <xdr:colOff>20484</xdr:colOff>
      <xdr:row>111</xdr:row>
      <xdr:rowOff>174113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28FDE33-FC81-2455-D39F-842C45CCD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586863</xdr:colOff>
      <xdr:row>107</xdr:row>
      <xdr:rowOff>159569</xdr:rowOff>
    </xdr:from>
    <xdr:to>
      <xdr:col>10</xdr:col>
      <xdr:colOff>378951</xdr:colOff>
      <xdr:row>119</xdr:row>
      <xdr:rowOff>276532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75ADE97-5F87-2EA6-0708-E50D28757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402507</xdr:colOff>
      <xdr:row>118</xdr:row>
      <xdr:rowOff>57151</xdr:rowOff>
    </xdr:from>
    <xdr:to>
      <xdr:col>16</xdr:col>
      <xdr:colOff>727177</xdr:colOff>
      <xdr:row>129</xdr:row>
      <xdr:rowOff>122904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27C6CE1-0995-710D-E29D-EBFABBE45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730250</xdr:colOff>
      <xdr:row>124</xdr:row>
      <xdr:rowOff>159569</xdr:rowOff>
    </xdr:from>
    <xdr:to>
      <xdr:col>11</xdr:col>
      <xdr:colOff>112661</xdr:colOff>
      <xdr:row>137</xdr:row>
      <xdr:rowOff>239866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DC19793-4A1E-C718-7C55-094DC07E8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85007</xdr:colOff>
      <xdr:row>139</xdr:row>
      <xdr:rowOff>108360</xdr:rowOff>
    </xdr:from>
    <xdr:to>
      <xdr:col>11</xdr:col>
      <xdr:colOff>61451</xdr:colOff>
      <xdr:row>153</xdr:row>
      <xdr:rowOff>14544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B2B3FCB-7D25-A99F-B74C-D30F1A7B0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427182</xdr:colOff>
      <xdr:row>0</xdr:row>
      <xdr:rowOff>23476</xdr:rowOff>
    </xdr:from>
    <xdr:to>
      <xdr:col>10</xdr:col>
      <xdr:colOff>654242</xdr:colOff>
      <xdr:row>9</xdr:row>
      <xdr:rowOff>163561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5C9B06-C71C-2373-BE72-4A2ADAF96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581121</xdr:colOff>
      <xdr:row>3</xdr:row>
      <xdr:rowOff>158174</xdr:rowOff>
    </xdr:from>
    <xdr:to>
      <xdr:col>15</xdr:col>
      <xdr:colOff>583046</xdr:colOff>
      <xdr:row>17</xdr:row>
      <xdr:rowOff>149707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6BCFCC-9625-304E-27AC-D8B73AE97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417560</xdr:colOff>
      <xdr:row>10</xdr:row>
      <xdr:rowOff>129309</xdr:rowOff>
    </xdr:from>
    <xdr:to>
      <xdr:col>10</xdr:col>
      <xdr:colOff>419484</xdr:colOff>
      <xdr:row>24</xdr:row>
      <xdr:rowOff>120843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873ED2-01F7-6427-A36A-8026AF96E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215515</xdr:colOff>
      <xdr:row>19</xdr:row>
      <xdr:rowOff>33097</xdr:rowOff>
    </xdr:from>
    <xdr:to>
      <xdr:col>15</xdr:col>
      <xdr:colOff>217440</xdr:colOff>
      <xdr:row>33</xdr:row>
      <xdr:rowOff>5388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CCC251-6BEF-9B03-35FC-3C3F40A28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32712</xdr:colOff>
      <xdr:row>23</xdr:row>
      <xdr:rowOff>100446</xdr:rowOff>
    </xdr:from>
    <xdr:to>
      <xdr:col>10</xdr:col>
      <xdr:colOff>34636</xdr:colOff>
      <xdr:row>37</xdr:row>
      <xdr:rowOff>72736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795FE6-B6A8-911B-7D32-67CA9021E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812031</xdr:colOff>
      <xdr:row>34</xdr:row>
      <xdr:rowOff>23476</xdr:rowOff>
    </xdr:from>
    <xdr:to>
      <xdr:col>14</xdr:col>
      <xdr:colOff>813955</xdr:colOff>
      <xdr:row>48</xdr:row>
      <xdr:rowOff>5388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4F3BAD-A166-217A-48A0-E12C428D4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100061</xdr:colOff>
      <xdr:row>48</xdr:row>
      <xdr:rowOff>158173</xdr:rowOff>
    </xdr:from>
    <xdr:to>
      <xdr:col>12</xdr:col>
      <xdr:colOff>101985</xdr:colOff>
      <xdr:row>62</xdr:row>
      <xdr:rowOff>159328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FBB4D8-B08A-8568-1181-EF8D295BB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263621</xdr:colOff>
      <xdr:row>50</xdr:row>
      <xdr:rowOff>158174</xdr:rowOff>
    </xdr:from>
    <xdr:to>
      <xdr:col>17</xdr:col>
      <xdr:colOff>265545</xdr:colOff>
      <xdr:row>64</xdr:row>
      <xdr:rowOff>168949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656049-5CC7-DC99-90AB-C18783E2B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417561</xdr:colOff>
      <xdr:row>66</xdr:row>
      <xdr:rowOff>119688</xdr:rowOff>
    </xdr:from>
    <xdr:to>
      <xdr:col>18</xdr:col>
      <xdr:colOff>419485</xdr:colOff>
      <xdr:row>80</xdr:row>
      <xdr:rowOff>120843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963044A-2F13-81B0-6EA1-FC4A081FB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F29E58-1C30-AE4A-8ABE-A65506D90B5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bfda992-f90b-49c9-be09-d5156699e03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BAC7-3900-7B4B-AC2B-575FD8F4889F}">
  <dimension ref="A1:G205"/>
  <sheetViews>
    <sheetView topLeftCell="A215" zoomScale="75" workbookViewId="0">
      <selection activeCell="G212" sqref="G212"/>
    </sheetView>
  </sheetViews>
  <sheetFormatPr baseColWidth="10" defaultColWidth="11" defaultRowHeight="16"/>
  <cols>
    <col min="1" max="1" width="16.5" customWidth="1"/>
    <col min="2" max="2" width="20.1640625" customWidth="1"/>
    <col min="3" max="3" width="19.6640625" customWidth="1"/>
    <col min="4" max="4" width="17.5" customWidth="1"/>
  </cols>
  <sheetData>
    <row r="1" spans="1:7">
      <c r="A1" s="170" t="s">
        <v>4</v>
      </c>
      <c r="B1" s="170"/>
      <c r="C1" s="170"/>
      <c r="D1" s="170"/>
      <c r="E1" s="170"/>
      <c r="F1" s="170"/>
      <c r="G1" s="170"/>
    </row>
    <row r="2" spans="1:7">
      <c r="A2" s="170"/>
      <c r="B2" s="170"/>
      <c r="C2" s="170"/>
      <c r="D2" s="170"/>
      <c r="E2" s="170"/>
      <c r="F2" s="170"/>
      <c r="G2" s="170"/>
    </row>
    <row r="3" spans="1:7" ht="17" thickBot="1"/>
    <row r="4" spans="1:7">
      <c r="A4" s="167" t="s">
        <v>0</v>
      </c>
      <c r="B4" s="168"/>
      <c r="C4" s="169"/>
    </row>
    <row r="5" spans="1:7">
      <c r="A5" s="1" t="s">
        <v>1</v>
      </c>
      <c r="B5" s="1" t="s">
        <v>2</v>
      </c>
      <c r="C5" s="1" t="s">
        <v>3</v>
      </c>
    </row>
    <row r="6" spans="1:7">
      <c r="A6" s="2">
        <v>2003</v>
      </c>
      <c r="B6" s="3">
        <v>0.48299999999999998</v>
      </c>
      <c r="C6" s="3">
        <v>0.35399999999999998</v>
      </c>
    </row>
    <row r="7" spans="1:7">
      <c r="A7" s="2">
        <v>2004</v>
      </c>
      <c r="B7" s="3">
        <v>0.505</v>
      </c>
      <c r="C7" s="3">
        <v>0.29699999999999999</v>
      </c>
    </row>
    <row r="8" spans="1:7">
      <c r="A8" s="2">
        <v>2005</v>
      </c>
      <c r="B8" s="3">
        <v>0.44400000000000001</v>
      </c>
      <c r="C8" s="3">
        <v>0.26100000000000001</v>
      </c>
    </row>
    <row r="9" spans="1:7">
      <c r="A9" s="2">
        <v>2006</v>
      </c>
      <c r="B9" s="3">
        <v>0.54200000000000004</v>
      </c>
      <c r="C9" s="3">
        <v>0.36499999999999999</v>
      </c>
    </row>
    <row r="10" spans="1:7">
      <c r="A10" s="2">
        <v>2007</v>
      </c>
      <c r="B10" s="3">
        <v>0.56100000000000005</v>
      </c>
      <c r="C10" s="3">
        <v>0.39500000000000002</v>
      </c>
    </row>
    <row r="11" spans="1:7">
      <c r="A11" s="2">
        <v>2008</v>
      </c>
      <c r="B11" s="3">
        <v>0.56200000000000006</v>
      </c>
      <c r="C11" s="3">
        <v>0.39900000000000002</v>
      </c>
    </row>
    <row r="12" spans="1:7">
      <c r="A12" s="2">
        <v>2009</v>
      </c>
      <c r="B12" s="3">
        <v>0.45200000000000001</v>
      </c>
      <c r="C12" s="3">
        <v>0.38400000000000001</v>
      </c>
    </row>
    <row r="13" spans="1:7">
      <c r="A13" s="2">
        <v>2010</v>
      </c>
      <c r="B13" s="3">
        <v>0.433</v>
      </c>
      <c r="C13" s="3">
        <v>0.34300000000000003</v>
      </c>
    </row>
    <row r="14" spans="1:7">
      <c r="A14" s="2">
        <v>2011</v>
      </c>
      <c r="B14" s="3">
        <v>0.439</v>
      </c>
      <c r="C14" s="3">
        <v>0.32700000000000001</v>
      </c>
    </row>
    <row r="15" spans="1:7">
      <c r="A15" s="2">
        <v>2012</v>
      </c>
      <c r="B15" s="3">
        <v>0.45800000000000002</v>
      </c>
      <c r="C15" s="3">
        <v>0.34</v>
      </c>
    </row>
    <row r="16" spans="1:7">
      <c r="A16" s="4">
        <v>2013</v>
      </c>
      <c r="B16" s="5">
        <v>0.496</v>
      </c>
      <c r="C16" s="5">
        <v>0.375</v>
      </c>
    </row>
    <row r="17" spans="1:3">
      <c r="A17" s="4">
        <v>2014</v>
      </c>
      <c r="B17" s="5">
        <v>0.59899999999999998</v>
      </c>
      <c r="C17" s="5">
        <v>0.39400000000000002</v>
      </c>
    </row>
    <row r="18" spans="1:3">
      <c r="A18" s="4">
        <v>2015</v>
      </c>
      <c r="B18" s="5">
        <v>0.54400000000000004</v>
      </c>
      <c r="C18" s="5">
        <v>0.38600000000000001</v>
      </c>
    </row>
    <row r="19" spans="1:3">
      <c r="A19" s="4">
        <v>2016</v>
      </c>
      <c r="B19" s="5">
        <v>0.629</v>
      </c>
      <c r="C19" s="5">
        <v>0.36699999999999999</v>
      </c>
    </row>
    <row r="20" spans="1:3">
      <c r="A20" s="4">
        <v>2017</v>
      </c>
      <c r="B20" s="5">
        <v>0.57699999999999996</v>
      </c>
      <c r="C20" s="5">
        <v>0.36</v>
      </c>
    </row>
    <row r="21" spans="1:3">
      <c r="A21" s="4">
        <v>2018</v>
      </c>
      <c r="B21" s="5">
        <v>0.60299999999999998</v>
      </c>
      <c r="C21" s="5">
        <v>0.38200000000000001</v>
      </c>
    </row>
    <row r="22" spans="1:3">
      <c r="A22" s="4">
        <v>2019</v>
      </c>
      <c r="B22" s="5">
        <v>0.58699999999999997</v>
      </c>
      <c r="C22" s="5">
        <v>0.47399999999999998</v>
      </c>
    </row>
    <row r="23" spans="1:3">
      <c r="A23" s="4">
        <v>2020</v>
      </c>
      <c r="B23" s="5">
        <v>0.65099999999999991</v>
      </c>
      <c r="C23" s="6">
        <v>0.38200000000000001</v>
      </c>
    </row>
    <row r="24" spans="1:3">
      <c r="A24" s="4">
        <v>2021</v>
      </c>
      <c r="B24" s="5">
        <v>0.60499999999999998</v>
      </c>
      <c r="C24" s="5">
        <v>0.40300000000000002</v>
      </c>
    </row>
    <row r="25" spans="1:3">
      <c r="A25" s="4">
        <v>2022</v>
      </c>
      <c r="B25" s="6">
        <v>0.63400000000000001</v>
      </c>
      <c r="C25" s="6">
        <v>0.40699999999999997</v>
      </c>
    </row>
    <row r="26" spans="1:3">
      <c r="A26" s="4">
        <v>2023</v>
      </c>
      <c r="B26" s="6">
        <v>0.66300000000000003</v>
      </c>
      <c r="C26" s="6">
        <v>0.52500000000000002</v>
      </c>
    </row>
    <row r="27" spans="1:3">
      <c r="A27">
        <v>2024</v>
      </c>
      <c r="B27" s="7">
        <v>0.70299999999999996</v>
      </c>
      <c r="C27" s="7">
        <v>0.44</v>
      </c>
    </row>
    <row r="28" spans="1:3">
      <c r="A28">
        <v>2025</v>
      </c>
      <c r="B28" s="7">
        <v>0.70399999999999996</v>
      </c>
      <c r="C28" s="7">
        <v>0.53800000000000003</v>
      </c>
    </row>
    <row r="31" spans="1:3" ht="17" thickBot="1"/>
    <row r="32" spans="1:3">
      <c r="A32" s="164" t="s">
        <v>5</v>
      </c>
      <c r="B32" s="165"/>
      <c r="C32" s="166"/>
    </row>
    <row r="33" spans="1:3">
      <c r="A33" s="8" t="s">
        <v>6</v>
      </c>
      <c r="B33" s="1" t="s">
        <v>2</v>
      </c>
      <c r="C33" s="9" t="s">
        <v>3</v>
      </c>
    </row>
    <row r="34" spans="1:3">
      <c r="A34" s="2">
        <v>2003</v>
      </c>
      <c r="B34" s="10">
        <v>0.50800000000000001</v>
      </c>
      <c r="C34" s="10">
        <v>0.496</v>
      </c>
    </row>
    <row r="35" spans="1:3">
      <c r="A35" s="2">
        <v>2004</v>
      </c>
      <c r="B35" s="10">
        <v>0.52700000000000002</v>
      </c>
      <c r="C35" s="10">
        <v>0.373</v>
      </c>
    </row>
    <row r="36" spans="1:3">
      <c r="A36" s="2">
        <v>2005</v>
      </c>
      <c r="B36" s="10">
        <v>0.41599999999999998</v>
      </c>
      <c r="C36" s="10">
        <v>0.27500000000000002</v>
      </c>
    </row>
    <row r="37" spans="1:3">
      <c r="A37" s="2">
        <v>2006</v>
      </c>
      <c r="B37" s="10">
        <v>0.32700000000000001</v>
      </c>
      <c r="C37" s="10">
        <v>0.26800000000000002</v>
      </c>
    </row>
    <row r="38" spans="1:3">
      <c r="A38" s="2">
        <v>2007</v>
      </c>
      <c r="B38" s="10">
        <v>0.28499999999999998</v>
      </c>
      <c r="C38" s="10">
        <v>0.24399999999999999</v>
      </c>
    </row>
    <row r="39" spans="1:3">
      <c r="A39" s="2">
        <v>2008</v>
      </c>
      <c r="B39" s="10">
        <v>0.29899999999999999</v>
      </c>
      <c r="C39" s="10">
        <v>0.22900000000000001</v>
      </c>
    </row>
    <row r="40" spans="1:3">
      <c r="A40" s="2">
        <v>2009</v>
      </c>
      <c r="B40" s="10">
        <v>0.16700000000000001</v>
      </c>
      <c r="C40" s="10">
        <v>0.17699999999999999</v>
      </c>
    </row>
    <row r="41" spans="1:3">
      <c r="A41" s="2">
        <v>2010</v>
      </c>
      <c r="B41" s="10">
        <v>8.1000000000000003E-2</v>
      </c>
      <c r="C41" s="10">
        <v>0.127</v>
      </c>
    </row>
    <row r="42" spans="1:3">
      <c r="A42" s="2">
        <v>2011</v>
      </c>
      <c r="B42" s="10">
        <v>0.14799999999999999</v>
      </c>
      <c r="C42" s="10">
        <v>0.13800000000000001</v>
      </c>
    </row>
    <row r="43" spans="1:3">
      <c r="A43" s="2">
        <v>2012</v>
      </c>
      <c r="B43" s="10">
        <v>0.16600000000000001</v>
      </c>
      <c r="C43" s="10">
        <v>0.13600000000000001</v>
      </c>
    </row>
    <row r="44" spans="1:3">
      <c r="A44" s="4">
        <v>2013</v>
      </c>
      <c r="B44" s="6">
        <v>0.18899999999999997</v>
      </c>
      <c r="C44" s="6">
        <v>0.14699999999999999</v>
      </c>
    </row>
    <row r="45" spans="1:3">
      <c r="A45" s="4">
        <v>2014</v>
      </c>
      <c r="B45" s="5">
        <v>0.26600000000000001</v>
      </c>
      <c r="C45" s="5">
        <v>0.17699999999999999</v>
      </c>
    </row>
    <row r="46" spans="1:3">
      <c r="A46" s="4">
        <v>2015</v>
      </c>
      <c r="B46" s="5">
        <v>0.27200000000000002</v>
      </c>
      <c r="C46" s="5">
        <v>0.253</v>
      </c>
    </row>
    <row r="47" spans="1:3">
      <c r="A47" s="4">
        <v>2016</v>
      </c>
      <c r="B47" s="5">
        <v>0.26900000000000002</v>
      </c>
      <c r="C47" s="5">
        <v>0.19800000000000001</v>
      </c>
    </row>
    <row r="48" spans="1:3">
      <c r="A48" s="4">
        <v>2017</v>
      </c>
      <c r="B48" s="5">
        <v>0.31</v>
      </c>
      <c r="C48" s="5">
        <v>0.245</v>
      </c>
    </row>
    <row r="49" spans="1:3">
      <c r="A49" s="4">
        <v>2018</v>
      </c>
      <c r="B49" s="5">
        <v>0.26100000000000001</v>
      </c>
      <c r="C49" s="5">
        <v>0.193</v>
      </c>
    </row>
    <row r="50" spans="1:3">
      <c r="A50" s="4">
        <v>2019</v>
      </c>
      <c r="B50" s="5">
        <v>0.40699999999999997</v>
      </c>
      <c r="C50" s="5">
        <v>0.30399999999999999</v>
      </c>
    </row>
    <row r="51" spans="1:3">
      <c r="A51" s="4">
        <v>2020</v>
      </c>
      <c r="B51" s="5">
        <v>0.17899999999999999</v>
      </c>
      <c r="C51" s="5">
        <v>0.17199999999999999</v>
      </c>
    </row>
    <row r="52" spans="1:3">
      <c r="A52" s="11">
        <v>2021</v>
      </c>
      <c r="B52" s="5">
        <v>0.38400000000000001</v>
      </c>
      <c r="C52" s="5">
        <v>0.23200000000000001</v>
      </c>
    </row>
    <row r="53" spans="1:3">
      <c r="A53" s="4">
        <v>2022</v>
      </c>
      <c r="B53" s="6">
        <v>0.24299999999999999</v>
      </c>
      <c r="C53" s="6">
        <v>0.23100000000000001</v>
      </c>
    </row>
    <row r="54" spans="1:3">
      <c r="A54" s="4">
        <v>2023</v>
      </c>
      <c r="B54" s="6">
        <v>0.376</v>
      </c>
      <c r="C54" s="6">
        <v>0.27400000000000002</v>
      </c>
    </row>
    <row r="55" spans="1:3">
      <c r="A55">
        <v>2024</v>
      </c>
      <c r="B55" s="7">
        <v>0.32200000000000001</v>
      </c>
      <c r="C55" s="7">
        <v>0.26500000000000001</v>
      </c>
    </row>
    <row r="56" spans="1:3">
      <c r="A56">
        <v>2025</v>
      </c>
      <c r="B56" s="7">
        <v>0.41199999999999998</v>
      </c>
      <c r="C56" s="7">
        <v>0.34399999999999997</v>
      </c>
    </row>
    <row r="58" spans="1:3" ht="17" thickBot="1"/>
    <row r="59" spans="1:3">
      <c r="A59" s="164" t="s">
        <v>7</v>
      </c>
      <c r="B59" s="165"/>
      <c r="C59" s="166"/>
    </row>
    <row r="60" spans="1:3">
      <c r="A60" s="8" t="s">
        <v>6</v>
      </c>
      <c r="B60" s="1" t="s">
        <v>2</v>
      </c>
      <c r="C60" s="9" t="s">
        <v>3</v>
      </c>
    </row>
    <row r="61" spans="1:3">
      <c r="A61" s="2">
        <v>2003</v>
      </c>
      <c r="B61" s="10">
        <v>0.89500000000000002</v>
      </c>
      <c r="C61" s="10">
        <v>0.498</v>
      </c>
    </row>
    <row r="62" spans="1:3">
      <c r="A62" s="2">
        <v>2004</v>
      </c>
      <c r="B62" s="10">
        <v>0.92600000000000005</v>
      </c>
      <c r="C62" s="10">
        <v>0.44600000000000001</v>
      </c>
    </row>
    <row r="63" spans="1:3">
      <c r="A63" s="2">
        <v>2005</v>
      </c>
      <c r="B63" s="10">
        <v>0.879</v>
      </c>
      <c r="C63" s="10">
        <v>0.42599999999999999</v>
      </c>
    </row>
    <row r="64" spans="1:3">
      <c r="A64" s="2">
        <v>2006</v>
      </c>
      <c r="B64" s="10">
        <v>1</v>
      </c>
      <c r="C64" s="10">
        <v>0.52700000000000002</v>
      </c>
    </row>
    <row r="65" spans="1:3">
      <c r="A65" s="2">
        <v>2007</v>
      </c>
      <c r="B65" s="10">
        <v>0.92800000000000005</v>
      </c>
      <c r="C65" s="10">
        <v>0.47799999999999998</v>
      </c>
    </row>
    <row r="66" spans="1:3">
      <c r="A66" s="2">
        <v>2008</v>
      </c>
      <c r="B66" s="10">
        <v>0.80100000000000005</v>
      </c>
      <c r="C66" s="10">
        <v>0.48899999999999999</v>
      </c>
    </row>
    <row r="67" spans="1:3">
      <c r="A67" s="2">
        <v>2009</v>
      </c>
      <c r="B67" s="10">
        <v>0.84399999999999997</v>
      </c>
      <c r="C67" s="10">
        <v>0.51400000000000001</v>
      </c>
    </row>
    <row r="68" spans="1:3">
      <c r="A68" s="2">
        <v>2010</v>
      </c>
      <c r="B68" s="10">
        <v>0.875</v>
      </c>
      <c r="C68" s="10">
        <v>0.50800000000000001</v>
      </c>
    </row>
    <row r="69" spans="1:3">
      <c r="A69" s="2">
        <v>2011</v>
      </c>
      <c r="B69" s="10">
        <v>0.91</v>
      </c>
      <c r="C69" s="10">
        <v>0.53</v>
      </c>
    </row>
    <row r="70" spans="1:3">
      <c r="A70" s="2">
        <v>2012</v>
      </c>
      <c r="B70" s="10">
        <v>0.84399999999999997</v>
      </c>
      <c r="C70" s="10">
        <v>0.49700000000000005</v>
      </c>
    </row>
    <row r="71" spans="1:3">
      <c r="A71" s="4">
        <v>2013</v>
      </c>
      <c r="B71" s="6">
        <v>0.88</v>
      </c>
      <c r="C71" s="6">
        <v>0.53799999999999992</v>
      </c>
    </row>
    <row r="72" spans="1:3">
      <c r="A72" s="4">
        <v>2014</v>
      </c>
      <c r="B72" s="5">
        <v>0.88</v>
      </c>
      <c r="C72" s="5">
        <v>0.45600000000000002</v>
      </c>
    </row>
    <row r="73" spans="1:3">
      <c r="A73" s="4">
        <v>2015</v>
      </c>
      <c r="B73" s="5">
        <v>0.82399999999999995</v>
      </c>
      <c r="C73" s="5">
        <v>0.434</v>
      </c>
    </row>
    <row r="74" spans="1:3">
      <c r="A74" s="4">
        <v>2016</v>
      </c>
      <c r="B74" s="5">
        <v>0.85899999999999999</v>
      </c>
      <c r="C74" s="5">
        <v>0.41699999999999998</v>
      </c>
    </row>
    <row r="75" spans="1:3">
      <c r="A75" s="4">
        <v>2017</v>
      </c>
      <c r="B75" s="5">
        <v>0.84799999999999998</v>
      </c>
      <c r="C75" s="5">
        <v>0.4</v>
      </c>
    </row>
    <row r="76" spans="1:3">
      <c r="A76" s="4">
        <v>2018</v>
      </c>
      <c r="B76" s="5">
        <v>0.84899999999999998</v>
      </c>
      <c r="C76" s="5">
        <v>0.41299999999999998</v>
      </c>
    </row>
    <row r="77" spans="1:3">
      <c r="A77" s="12">
        <v>2019</v>
      </c>
      <c r="B77" s="5">
        <v>0.84</v>
      </c>
      <c r="C77" s="5">
        <v>0.439</v>
      </c>
    </row>
    <row r="78" spans="1:3">
      <c r="A78" s="12">
        <v>2020</v>
      </c>
      <c r="B78" s="5">
        <v>0.81700000000000006</v>
      </c>
      <c r="C78" s="5">
        <v>0.53100000000000003</v>
      </c>
    </row>
    <row r="79" spans="1:3">
      <c r="A79" s="11">
        <v>2021</v>
      </c>
      <c r="B79" s="5">
        <v>0.85799999999999998</v>
      </c>
      <c r="C79" s="5">
        <v>0.46500000000000002</v>
      </c>
    </row>
    <row r="80" spans="1:3">
      <c r="A80" s="4">
        <v>2022</v>
      </c>
      <c r="B80" s="6">
        <v>0.84499999999999997</v>
      </c>
      <c r="C80" s="6">
        <v>0.41299999999999998</v>
      </c>
    </row>
    <row r="81" spans="1:3">
      <c r="A81" s="4">
        <v>2023</v>
      </c>
      <c r="B81" s="6">
        <v>1</v>
      </c>
      <c r="C81" s="6">
        <v>0.46</v>
      </c>
    </row>
    <row r="82" spans="1:3">
      <c r="A82">
        <v>2024</v>
      </c>
      <c r="B82" s="7">
        <v>0.84799999999999998</v>
      </c>
      <c r="C82" s="7">
        <v>0.42499999999999999</v>
      </c>
    </row>
    <row r="83" spans="1:3">
      <c r="A83">
        <v>2025</v>
      </c>
      <c r="B83" s="7">
        <v>0.79600000000000004</v>
      </c>
      <c r="C83" s="7">
        <v>0.49099999999999999</v>
      </c>
    </row>
    <row r="85" spans="1:3" ht="17" thickBot="1"/>
    <row r="86" spans="1:3">
      <c r="A86" s="164" t="s">
        <v>8</v>
      </c>
      <c r="B86" s="165"/>
      <c r="C86" s="166"/>
    </row>
    <row r="87" spans="1:3">
      <c r="A87" s="8" t="s">
        <v>6</v>
      </c>
      <c r="B87" s="1" t="s">
        <v>2</v>
      </c>
      <c r="C87" s="9" t="s">
        <v>3</v>
      </c>
    </row>
    <row r="88" spans="1:3">
      <c r="A88" s="2">
        <v>2003</v>
      </c>
      <c r="B88" s="3">
        <v>0.23899999999999999</v>
      </c>
      <c r="C88" s="3">
        <v>0.45</v>
      </c>
    </row>
    <row r="89" spans="1:3">
      <c r="A89" s="2">
        <v>2004</v>
      </c>
      <c r="B89" s="3">
        <v>0.17799999999999999</v>
      </c>
      <c r="C89" s="3">
        <v>0.47899999999999998</v>
      </c>
    </row>
    <row r="90" spans="1:3">
      <c r="A90" s="2">
        <v>2005</v>
      </c>
      <c r="B90" s="3">
        <v>0.30099999999999999</v>
      </c>
      <c r="C90" s="3">
        <v>0.5</v>
      </c>
    </row>
    <row r="91" spans="1:3">
      <c r="A91" s="2">
        <v>2006</v>
      </c>
      <c r="B91" s="3">
        <v>0.30599999999999999</v>
      </c>
      <c r="C91" s="3">
        <v>0.46</v>
      </c>
    </row>
    <row r="92" spans="1:3">
      <c r="A92" s="2">
        <v>2007</v>
      </c>
      <c r="B92" s="3">
        <v>0.36699999999999999</v>
      </c>
      <c r="C92" s="3">
        <v>0.48399999999999999</v>
      </c>
    </row>
    <row r="93" spans="1:3">
      <c r="A93" s="2">
        <v>2008</v>
      </c>
      <c r="B93" s="3">
        <v>0.38500000000000001</v>
      </c>
      <c r="C93" s="3">
        <v>0.46899999999999997</v>
      </c>
    </row>
    <row r="94" spans="1:3">
      <c r="A94" s="2">
        <v>2009</v>
      </c>
      <c r="B94" s="3">
        <v>0.51400000000000001</v>
      </c>
      <c r="C94" s="3">
        <v>0.623</v>
      </c>
    </row>
    <row r="95" spans="1:3">
      <c r="A95" s="2">
        <v>2010</v>
      </c>
      <c r="B95" s="3">
        <v>0.40300000000000002</v>
      </c>
      <c r="C95" s="3">
        <v>0.48</v>
      </c>
    </row>
    <row r="96" spans="1:3">
      <c r="A96" s="2">
        <v>2011</v>
      </c>
      <c r="B96" s="3">
        <v>0.40400000000000003</v>
      </c>
      <c r="C96" s="3">
        <v>0.56899999999999995</v>
      </c>
    </row>
    <row r="97" spans="1:3">
      <c r="A97" s="2">
        <v>2012</v>
      </c>
      <c r="B97" s="3">
        <v>0.48</v>
      </c>
      <c r="C97" s="3">
        <v>0.59099999999999997</v>
      </c>
    </row>
    <row r="98" spans="1:3">
      <c r="A98" s="4">
        <v>2013</v>
      </c>
      <c r="B98" s="5">
        <v>0.41299999999999998</v>
      </c>
      <c r="C98" s="5">
        <v>0.53400000000000003</v>
      </c>
    </row>
    <row r="99" spans="1:3">
      <c r="A99" s="4">
        <v>2014</v>
      </c>
      <c r="B99" s="5">
        <v>0.372</v>
      </c>
      <c r="C99" s="5">
        <v>0.497</v>
      </c>
    </row>
    <row r="100" spans="1:3">
      <c r="A100" s="4">
        <v>2015</v>
      </c>
      <c r="B100" s="5">
        <v>0.308</v>
      </c>
      <c r="C100" s="5">
        <v>0.47199999999999998</v>
      </c>
    </row>
    <row r="101" spans="1:3">
      <c r="A101" s="4">
        <v>2016</v>
      </c>
      <c r="B101" s="5">
        <v>0.31900000000000001</v>
      </c>
      <c r="C101" s="5">
        <v>0.49099999999999999</v>
      </c>
    </row>
    <row r="102" spans="1:3">
      <c r="A102" s="4">
        <v>2017</v>
      </c>
      <c r="B102" s="5">
        <v>0.32800000000000001</v>
      </c>
      <c r="C102" s="5">
        <v>0.51800000000000002</v>
      </c>
    </row>
    <row r="103" spans="1:3">
      <c r="A103" s="4">
        <v>2018</v>
      </c>
      <c r="B103" s="5">
        <v>0.34399999999999997</v>
      </c>
      <c r="C103" s="5">
        <v>0.44</v>
      </c>
    </row>
    <row r="104" spans="1:3">
      <c r="A104" s="12">
        <v>2019</v>
      </c>
      <c r="B104" s="5">
        <v>0.35499999999999998</v>
      </c>
      <c r="C104" s="5">
        <v>0.58099999999999996</v>
      </c>
    </row>
    <row r="105" spans="1:3">
      <c r="A105" s="12">
        <v>2020</v>
      </c>
      <c r="B105" s="5">
        <v>0.52700000000000002</v>
      </c>
      <c r="C105" s="5">
        <v>0.7</v>
      </c>
    </row>
    <row r="106" spans="1:3">
      <c r="A106" s="11">
        <v>2021</v>
      </c>
      <c r="B106" s="5">
        <v>0.40500000000000003</v>
      </c>
      <c r="C106" s="5">
        <v>0.60899999999999999</v>
      </c>
    </row>
    <row r="107" spans="1:3">
      <c r="A107" s="4">
        <v>2022</v>
      </c>
      <c r="B107" s="6">
        <v>0.42899999999999999</v>
      </c>
      <c r="C107" s="6">
        <v>0.57799999999999996</v>
      </c>
    </row>
    <row r="108" spans="1:3">
      <c r="A108" s="4">
        <v>2023</v>
      </c>
      <c r="B108" s="6">
        <v>0.37</v>
      </c>
      <c r="C108" s="6">
        <v>0.54200000000000004</v>
      </c>
    </row>
    <row r="109" spans="1:3">
      <c r="A109">
        <v>2024</v>
      </c>
      <c r="B109" s="7">
        <v>0.313</v>
      </c>
      <c r="C109" s="7">
        <v>0.52500000000000002</v>
      </c>
    </row>
    <row r="110" spans="1:3">
      <c r="A110">
        <v>2025</v>
      </c>
      <c r="B110" s="7">
        <v>0.377</v>
      </c>
      <c r="C110" s="7">
        <v>0.57099999999999995</v>
      </c>
    </row>
    <row r="112" spans="1:3" ht="17" thickBot="1"/>
    <row r="113" spans="1:3">
      <c r="A113" s="164" t="s">
        <v>5</v>
      </c>
      <c r="B113" s="165"/>
      <c r="C113" s="166"/>
    </row>
    <row r="114" spans="1:3">
      <c r="B114" s="1" t="s">
        <v>2</v>
      </c>
      <c r="C114" s="9" t="s">
        <v>3</v>
      </c>
    </row>
    <row r="115" spans="1:3">
      <c r="A115" s="7" t="s">
        <v>52</v>
      </c>
      <c r="B115" s="7">
        <v>0.39300000000000002</v>
      </c>
      <c r="C115" s="7">
        <v>0.35799999999999998</v>
      </c>
    </row>
    <row r="116" spans="1:3">
      <c r="A116" s="7" t="s">
        <v>51</v>
      </c>
      <c r="B116" s="7">
        <v>0.45</v>
      </c>
      <c r="C116" s="7">
        <v>0.31900000000000001</v>
      </c>
    </row>
    <row r="117" spans="1:3" ht="17" thickBot="1">
      <c r="A117" s="7"/>
      <c r="B117" s="7"/>
      <c r="C117" s="7"/>
    </row>
    <row r="118" spans="1:3">
      <c r="A118" s="171" t="s">
        <v>7</v>
      </c>
      <c r="B118" s="172"/>
      <c r="C118" s="173"/>
    </row>
    <row r="119" spans="1:3">
      <c r="A119" s="7"/>
      <c r="B119" s="13" t="s">
        <v>2</v>
      </c>
      <c r="C119" s="14" t="s">
        <v>3</v>
      </c>
    </row>
    <row r="120" spans="1:3">
      <c r="A120" s="7" t="s">
        <v>52</v>
      </c>
      <c r="B120" s="7">
        <v>0.80100000000000005</v>
      </c>
      <c r="C120" s="7">
        <v>0.50700000000000001</v>
      </c>
    </row>
    <row r="121" spans="1:3">
      <c r="A121" s="7" t="s">
        <v>51</v>
      </c>
      <c r="B121" s="7">
        <v>0.78600000000000003</v>
      </c>
      <c r="C121" s="7">
        <v>0.46300000000000002</v>
      </c>
    </row>
    <row r="122" spans="1:3" ht="17" thickBot="1">
      <c r="A122" s="7"/>
      <c r="B122" s="7"/>
      <c r="C122" s="7"/>
    </row>
    <row r="123" spans="1:3">
      <c r="A123" s="164" t="s">
        <v>8</v>
      </c>
      <c r="B123" s="165"/>
      <c r="C123" s="166"/>
    </row>
    <row r="124" spans="1:3">
      <c r="B124" s="1" t="s">
        <v>2</v>
      </c>
      <c r="C124" s="9" t="s">
        <v>3</v>
      </c>
    </row>
    <row r="125" spans="1:3">
      <c r="A125" s="7" t="s">
        <v>52</v>
      </c>
      <c r="B125" s="7">
        <v>0.42699999999999999</v>
      </c>
      <c r="C125" s="7">
        <v>0.58799999999999997</v>
      </c>
    </row>
    <row r="126" spans="1:3">
      <c r="A126" s="7" t="s">
        <v>51</v>
      </c>
      <c r="B126" s="7">
        <v>0.27800000000000002</v>
      </c>
      <c r="C126" s="7">
        <v>0.53400000000000003</v>
      </c>
    </row>
    <row r="127" spans="1:3" ht="17" thickBot="1"/>
    <row r="128" spans="1:3">
      <c r="A128" s="167" t="s">
        <v>0</v>
      </c>
      <c r="B128" s="168"/>
      <c r="C128" s="169"/>
    </row>
    <row r="129" spans="1:4">
      <c r="B129" s="1" t="s">
        <v>2</v>
      </c>
      <c r="C129" s="9" t="s">
        <v>3</v>
      </c>
    </row>
    <row r="130" spans="1:4">
      <c r="A130" s="7" t="s">
        <v>52</v>
      </c>
      <c r="B130" s="7">
        <v>0.71399999999999997</v>
      </c>
      <c r="C130" s="7">
        <v>0.55300000000000005</v>
      </c>
    </row>
    <row r="131" spans="1:4">
      <c r="A131" s="7" t="s">
        <v>51</v>
      </c>
      <c r="B131" s="7">
        <v>0.68500000000000005</v>
      </c>
      <c r="C131" s="7">
        <v>0.51200000000000001</v>
      </c>
    </row>
    <row r="132" spans="1:4" ht="17" thickBot="1">
      <c r="B132" s="7"/>
      <c r="C132" s="7"/>
      <c r="D132" s="15"/>
    </row>
    <row r="133" spans="1:4">
      <c r="A133" s="164" t="s">
        <v>5</v>
      </c>
      <c r="B133" s="165"/>
      <c r="C133" s="166"/>
      <c r="D133" s="15"/>
    </row>
    <row r="134" spans="1:4">
      <c r="B134" s="1" t="s">
        <v>2</v>
      </c>
      <c r="C134" s="9" t="s">
        <v>3</v>
      </c>
      <c r="D134" t="s">
        <v>11</v>
      </c>
    </row>
    <row r="135" spans="1:4">
      <c r="A135" s="7" t="s">
        <v>9</v>
      </c>
      <c r="B135" s="7">
        <v>0.40699999999999997</v>
      </c>
      <c r="C135" s="7">
        <v>0.30499999999999999</v>
      </c>
      <c r="D135" s="7">
        <v>0.32100000000000001</v>
      </c>
    </row>
    <row r="136" spans="1:4">
      <c r="A136" s="7" t="s">
        <v>10</v>
      </c>
      <c r="B136" s="7">
        <v>0.47099999999999997</v>
      </c>
      <c r="C136" s="7">
        <v>0.38100000000000001</v>
      </c>
      <c r="D136" s="7">
        <v>0.38700000000000001</v>
      </c>
    </row>
    <row r="137" spans="1:4" ht="17" thickBot="1">
      <c r="A137" s="7"/>
      <c r="B137" s="7"/>
      <c r="C137" s="7"/>
      <c r="D137" s="7"/>
    </row>
    <row r="138" spans="1:4">
      <c r="A138" s="171" t="s">
        <v>7</v>
      </c>
      <c r="B138" s="172"/>
      <c r="C138" s="173"/>
      <c r="D138" s="7"/>
    </row>
    <row r="139" spans="1:4">
      <c r="A139" s="7"/>
      <c r="B139" s="13" t="s">
        <v>2</v>
      </c>
      <c r="C139" s="14" t="s">
        <v>3</v>
      </c>
      <c r="D139" s="7" t="s">
        <v>11</v>
      </c>
    </row>
    <row r="140" spans="1:4">
      <c r="A140" s="7" t="s">
        <v>9</v>
      </c>
      <c r="B140" s="7">
        <v>0.76800000000000002</v>
      </c>
      <c r="C140" s="7">
        <v>0.45</v>
      </c>
      <c r="D140" s="7">
        <v>0.497</v>
      </c>
    </row>
    <row r="141" spans="1:4">
      <c r="A141" s="7" t="s">
        <v>10</v>
      </c>
      <c r="B141" s="7">
        <v>0.82199999999999995</v>
      </c>
      <c r="C141" s="7">
        <v>0.53200000000000003</v>
      </c>
      <c r="D141" s="7">
        <v>0.57599999999999996</v>
      </c>
    </row>
    <row r="142" spans="1:4" ht="17" thickBot="1">
      <c r="A142" s="7"/>
      <c r="B142" s="7"/>
      <c r="C142" s="7"/>
      <c r="D142" s="7"/>
    </row>
    <row r="143" spans="1:4">
      <c r="A143" s="164" t="s">
        <v>8</v>
      </c>
      <c r="B143" s="165"/>
      <c r="C143" s="166"/>
      <c r="D143" t="s">
        <v>11</v>
      </c>
    </row>
    <row r="144" spans="1:4">
      <c r="B144" s="1" t="s">
        <v>2</v>
      </c>
      <c r="C144" s="9" t="s">
        <v>3</v>
      </c>
    </row>
    <row r="145" spans="1:5">
      <c r="A145" t="s">
        <v>9</v>
      </c>
      <c r="B145" s="7">
        <v>0.41199999999999998</v>
      </c>
      <c r="C145" s="7">
        <v>0.627</v>
      </c>
      <c r="D145" s="7">
        <v>0.49199999999999999</v>
      </c>
    </row>
    <row r="146" spans="1:5">
      <c r="A146" t="s">
        <v>10</v>
      </c>
      <c r="B146" s="7">
        <v>0.34100000000000003</v>
      </c>
      <c r="C146" s="7">
        <v>0.51700000000000002</v>
      </c>
      <c r="D146" s="15">
        <v>0.59499999999999997</v>
      </c>
    </row>
    <row r="147" spans="1:5" ht="17" thickBot="1"/>
    <row r="148" spans="1:5">
      <c r="A148" s="167" t="s">
        <v>0</v>
      </c>
      <c r="B148" s="168"/>
      <c r="C148" s="169"/>
    </row>
    <row r="149" spans="1:5">
      <c r="B149" s="1" t="s">
        <v>2</v>
      </c>
      <c r="C149" s="9" t="s">
        <v>3</v>
      </c>
      <c r="D149" t="s">
        <v>11</v>
      </c>
    </row>
    <row r="150" spans="1:5">
      <c r="A150" t="s">
        <v>9</v>
      </c>
      <c r="B150" s="7">
        <v>0.66700000000000004</v>
      </c>
      <c r="C150" s="7">
        <v>0.52800000000000002</v>
      </c>
      <c r="D150" s="15">
        <v>0.54900000000000004</v>
      </c>
    </row>
    <row r="151" spans="1:5">
      <c r="A151" t="s">
        <v>10</v>
      </c>
      <c r="B151" s="7">
        <v>0.74099999999999999</v>
      </c>
      <c r="C151" s="7">
        <v>0.54700000000000004</v>
      </c>
      <c r="D151" s="15">
        <v>0.57499999999999996</v>
      </c>
    </row>
    <row r="152" spans="1:5">
      <c r="B152" s="7"/>
      <c r="C152" s="7"/>
      <c r="D152" s="15"/>
    </row>
    <row r="153" spans="1:5">
      <c r="B153" s="7"/>
      <c r="C153" s="7"/>
      <c r="D153" s="15"/>
    </row>
    <row r="154" spans="1:5" ht="16" customHeight="1">
      <c r="A154" s="94"/>
      <c r="B154" s="95" t="s">
        <v>125</v>
      </c>
      <c r="C154" s="95" t="s">
        <v>126</v>
      </c>
      <c r="D154" s="95" t="s">
        <v>127</v>
      </c>
      <c r="E154" s="95" t="s">
        <v>128</v>
      </c>
    </row>
    <row r="155" spans="1:5" ht="16" customHeight="1">
      <c r="A155" s="95" t="s">
        <v>129</v>
      </c>
      <c r="B155" s="135">
        <v>55.88</v>
      </c>
      <c r="C155" s="135">
        <v>41.46</v>
      </c>
      <c r="D155" s="135">
        <v>52.47</v>
      </c>
      <c r="E155" s="135">
        <v>53.53</v>
      </c>
    </row>
    <row r="156" spans="1:5" ht="16" customHeight="1">
      <c r="A156" s="95" t="s">
        <v>130</v>
      </c>
      <c r="B156" s="135">
        <v>51.59</v>
      </c>
      <c r="C156" s="135">
        <v>45.55</v>
      </c>
      <c r="D156" s="135">
        <v>49.05</v>
      </c>
      <c r="E156" s="135">
        <v>55.43</v>
      </c>
    </row>
    <row r="157" spans="1:5" ht="16" customHeight="1">
      <c r="A157" s="95" t="s">
        <v>131</v>
      </c>
      <c r="B157" s="135">
        <v>50.37</v>
      </c>
      <c r="C157" s="135">
        <v>24.44</v>
      </c>
      <c r="D157" s="135">
        <v>48.41</v>
      </c>
      <c r="E157" s="135">
        <v>58.59</v>
      </c>
    </row>
    <row r="158" spans="1:5" ht="16" customHeight="1">
      <c r="A158" s="95" t="s">
        <v>132</v>
      </c>
      <c r="B158" s="135">
        <v>69.959999999999994</v>
      </c>
      <c r="C158" s="135">
        <v>58.73</v>
      </c>
      <c r="D158" s="135">
        <v>62.37</v>
      </c>
      <c r="E158" s="135">
        <v>51.3</v>
      </c>
    </row>
    <row r="159" spans="1:5" ht="16" customHeight="1">
      <c r="A159" s="95"/>
      <c r="B159" s="135">
        <v>70.099999999999994</v>
      </c>
      <c r="C159" s="135">
        <v>41.46</v>
      </c>
      <c r="D159" s="135">
        <v>58.63</v>
      </c>
      <c r="E159" s="135">
        <v>48.98</v>
      </c>
    </row>
    <row r="160" spans="1:5" ht="16" customHeight="1">
      <c r="A160" s="95" t="s">
        <v>133</v>
      </c>
      <c r="B160" s="135">
        <v>44.4</v>
      </c>
      <c r="C160" s="135">
        <v>31.25</v>
      </c>
      <c r="D160" s="135">
        <v>49.51</v>
      </c>
      <c r="E160" s="135">
        <v>55.62</v>
      </c>
    </row>
    <row r="161" spans="1:5" ht="16" customHeight="1">
      <c r="A161" s="95" t="s">
        <v>134</v>
      </c>
      <c r="B161" s="135">
        <v>50.35</v>
      </c>
      <c r="C161" s="135">
        <v>30.79</v>
      </c>
      <c r="D161" s="135">
        <v>46.08</v>
      </c>
      <c r="E161" s="135">
        <v>54.19</v>
      </c>
    </row>
    <row r="162" spans="1:5" ht="16" customHeight="1">
      <c r="A162" s="95" t="s">
        <v>135</v>
      </c>
      <c r="B162" s="135">
        <v>53.54</v>
      </c>
      <c r="C162" s="135">
        <v>32.01</v>
      </c>
      <c r="D162" s="135">
        <v>50.31</v>
      </c>
      <c r="E162" s="135">
        <v>53.73</v>
      </c>
    </row>
    <row r="163" spans="1:5" ht="16" customHeight="1">
      <c r="A163" s="95" t="s">
        <v>136</v>
      </c>
      <c r="B163" s="135">
        <v>73.5</v>
      </c>
      <c r="C163" s="135">
        <v>54.03</v>
      </c>
      <c r="D163" s="135">
        <v>65.16</v>
      </c>
      <c r="E163" s="135">
        <v>50.22</v>
      </c>
    </row>
    <row r="164" spans="1:5" ht="16" customHeight="1">
      <c r="A164" s="95" t="s">
        <v>137</v>
      </c>
      <c r="B164" s="135">
        <v>56.49</v>
      </c>
      <c r="C164" s="135">
        <v>41.95</v>
      </c>
      <c r="D164" s="135">
        <v>49.93</v>
      </c>
      <c r="E164" s="135">
        <v>52.74</v>
      </c>
    </row>
    <row r="165" spans="1:5" ht="16" customHeight="1">
      <c r="A165" s="95" t="s">
        <v>40</v>
      </c>
      <c r="B165" s="135">
        <v>56.2</v>
      </c>
      <c r="C165" s="135">
        <v>35.4</v>
      </c>
      <c r="D165" s="135">
        <v>53.7</v>
      </c>
      <c r="E165" s="135">
        <v>54.3</v>
      </c>
    </row>
    <row r="166" spans="1:5" ht="16" customHeight="1">
      <c r="A166" s="95" t="s">
        <v>138</v>
      </c>
      <c r="B166" s="135">
        <v>54.35</v>
      </c>
      <c r="C166" s="135">
        <v>34.18</v>
      </c>
      <c r="D166" s="135">
        <v>52.23</v>
      </c>
      <c r="E166" s="135">
        <v>55.07</v>
      </c>
    </row>
    <row r="167" spans="1:5" ht="16" customHeight="1">
      <c r="A167" s="95" t="s">
        <v>139</v>
      </c>
      <c r="B167" s="135">
        <v>55.33</v>
      </c>
      <c r="C167" s="135">
        <v>43.92</v>
      </c>
      <c r="D167" s="135">
        <v>48</v>
      </c>
      <c r="E167" s="135">
        <v>55.15</v>
      </c>
    </row>
    <row r="168" spans="1:5" ht="16" customHeight="1">
      <c r="A168" s="95" t="s">
        <v>140</v>
      </c>
      <c r="B168" s="135">
        <v>51.53</v>
      </c>
      <c r="C168" s="135">
        <v>37.630000000000003</v>
      </c>
      <c r="D168" s="135">
        <v>50.58</v>
      </c>
      <c r="E168" s="135">
        <v>54.68</v>
      </c>
    </row>
    <row r="169" spans="1:5" ht="16" customHeight="1">
      <c r="A169" s="95" t="s">
        <v>141</v>
      </c>
      <c r="B169" s="135">
        <v>49.96</v>
      </c>
      <c r="C169" s="135">
        <v>32.880000000000003</v>
      </c>
      <c r="D169" s="135">
        <v>48.12</v>
      </c>
      <c r="E169" s="135">
        <v>50.07</v>
      </c>
    </row>
    <row r="170" spans="1:5" ht="16" customHeight="1">
      <c r="A170" s="95" t="s">
        <v>142</v>
      </c>
      <c r="B170" s="135">
        <v>51.98</v>
      </c>
      <c r="C170" s="135">
        <v>38.479999999999997</v>
      </c>
      <c r="D170" s="135">
        <v>48.93</v>
      </c>
      <c r="E170" s="135">
        <v>54.18</v>
      </c>
    </row>
    <row r="171" spans="1:5" ht="16" customHeight="1">
      <c r="A171" s="95" t="s">
        <v>143</v>
      </c>
      <c r="B171" s="135">
        <v>43.46</v>
      </c>
      <c r="C171" s="135">
        <v>36.630000000000003</v>
      </c>
      <c r="D171" s="135">
        <v>47.17</v>
      </c>
      <c r="E171" s="135">
        <v>51.31</v>
      </c>
    </row>
    <row r="172" spans="1:5">
      <c r="A172" s="95" t="s">
        <v>41</v>
      </c>
      <c r="B172" s="140">
        <v>60.4</v>
      </c>
      <c r="C172" s="140">
        <v>41.9</v>
      </c>
      <c r="D172" s="140">
        <v>53.7</v>
      </c>
      <c r="E172" s="140">
        <v>53</v>
      </c>
    </row>
    <row r="173" spans="1:5">
      <c r="B173" s="7"/>
      <c r="C173" s="7"/>
      <c r="D173" s="15"/>
    </row>
    <row r="174" spans="1:5">
      <c r="B174" s="7"/>
      <c r="C174" s="7"/>
      <c r="D174" s="15"/>
    </row>
    <row r="175" spans="1:5">
      <c r="A175" s="21">
        <v>2024</v>
      </c>
      <c r="B175" s="21" t="s">
        <v>410</v>
      </c>
      <c r="C175" s="28" t="s">
        <v>50</v>
      </c>
      <c r="D175" s="30"/>
    </row>
    <row r="176" spans="1:5">
      <c r="A176" s="22" t="s">
        <v>42</v>
      </c>
      <c r="B176" s="23">
        <v>0.27100000000000002</v>
      </c>
      <c r="C176" s="29">
        <v>0.35399999999999998</v>
      </c>
      <c r="D176" s="31"/>
    </row>
    <row r="177" spans="1:4">
      <c r="A177" s="25" t="s">
        <v>43</v>
      </c>
      <c r="B177" s="23">
        <v>0.47139999999999999</v>
      </c>
      <c r="C177" s="29">
        <v>0.53700000000000003</v>
      </c>
      <c r="D177" s="32"/>
    </row>
    <row r="178" spans="1:4">
      <c r="A178" s="25" t="s">
        <v>44</v>
      </c>
      <c r="B178" s="23">
        <v>0.50090000000000001</v>
      </c>
      <c r="C178" s="29">
        <v>0.54300000000000004</v>
      </c>
      <c r="D178" s="32"/>
    </row>
    <row r="179" spans="1:4">
      <c r="A179" s="25" t="s">
        <v>45</v>
      </c>
      <c r="B179" s="23">
        <v>0.47070000000000001</v>
      </c>
      <c r="C179" s="29">
        <v>0.56200000000000006</v>
      </c>
      <c r="D179" s="32"/>
    </row>
    <row r="180" spans="1:4">
      <c r="A180" s="27" t="s">
        <v>46</v>
      </c>
      <c r="B180" s="23">
        <v>0.3911</v>
      </c>
      <c r="C180" s="29">
        <v>0.45600000000000002</v>
      </c>
      <c r="D180" s="32"/>
    </row>
    <row r="181" spans="1:4">
      <c r="A181" s="27" t="s">
        <v>47</v>
      </c>
      <c r="B181" s="23">
        <v>0.37340000000000001</v>
      </c>
      <c r="C181" s="29">
        <v>0.48099999999999998</v>
      </c>
      <c r="D181" s="32"/>
    </row>
    <row r="182" spans="1:4">
      <c r="A182" s="27" t="s">
        <v>48</v>
      </c>
      <c r="B182" s="23">
        <v>0.4945</v>
      </c>
      <c r="C182" s="29">
        <v>0.58599999999999997</v>
      </c>
      <c r="D182" s="32"/>
    </row>
    <row r="183" spans="1:4">
      <c r="A183" s="27" t="s">
        <v>49</v>
      </c>
      <c r="B183" s="23">
        <v>0.27050000000000002</v>
      </c>
      <c r="C183" s="29">
        <v>0.29399999999999998</v>
      </c>
      <c r="D183" s="32"/>
    </row>
    <row r="186" spans="1:4">
      <c r="A186" s="21">
        <v>2025</v>
      </c>
      <c r="B186" s="21" t="s">
        <v>40</v>
      </c>
      <c r="C186" s="21" t="s">
        <v>41</v>
      </c>
      <c r="D186" s="21" t="s">
        <v>124</v>
      </c>
    </row>
    <row r="187" spans="1:4">
      <c r="A187" s="22" t="s">
        <v>42</v>
      </c>
      <c r="B187" s="29">
        <v>0.35399999999999998</v>
      </c>
      <c r="C187" s="24">
        <v>0.41899999999999998</v>
      </c>
      <c r="D187" s="26">
        <v>0.5</v>
      </c>
    </row>
    <row r="188" spans="1:4">
      <c r="A188" s="25" t="s">
        <v>43</v>
      </c>
      <c r="B188" s="29">
        <v>0.53700000000000003</v>
      </c>
      <c r="C188" s="24">
        <v>0.53700000000000003</v>
      </c>
      <c r="D188" s="26">
        <v>0.51900000000000002</v>
      </c>
    </row>
    <row r="189" spans="1:4">
      <c r="A189" s="25" t="s">
        <v>44</v>
      </c>
      <c r="B189" s="29">
        <v>0.54300000000000004</v>
      </c>
      <c r="C189" s="24">
        <v>0.53</v>
      </c>
      <c r="D189" s="26">
        <v>0.496</v>
      </c>
    </row>
    <row r="190" spans="1:4">
      <c r="A190" s="25" t="s">
        <v>45</v>
      </c>
      <c r="B190" s="29">
        <v>0.56200000000000006</v>
      </c>
      <c r="C190" s="24">
        <v>0.60399999999999998</v>
      </c>
      <c r="D190" s="26">
        <v>0.54700000000000004</v>
      </c>
    </row>
    <row r="191" spans="1:4">
      <c r="A191" s="27" t="s">
        <v>46</v>
      </c>
      <c r="B191" s="29">
        <v>0.45600000000000002</v>
      </c>
      <c r="C191" s="24">
        <v>0.50900000000000001</v>
      </c>
      <c r="D191" s="26">
        <v>0.60599999999999998</v>
      </c>
    </row>
    <row r="192" spans="1:4">
      <c r="A192" s="27" t="s">
        <v>47</v>
      </c>
      <c r="B192" s="29">
        <v>0.48099999999999998</v>
      </c>
      <c r="C192" s="24">
        <v>0.51</v>
      </c>
      <c r="D192" s="26">
        <v>0.65300000000000002</v>
      </c>
    </row>
    <row r="193" spans="1:4">
      <c r="A193" s="27" t="s">
        <v>48</v>
      </c>
      <c r="B193" s="29">
        <v>0.58599999999999997</v>
      </c>
      <c r="C193" s="24">
        <v>0.64900000000000002</v>
      </c>
      <c r="D193" s="26">
        <v>0.72599999999999998</v>
      </c>
    </row>
    <row r="194" spans="1:4">
      <c r="A194" s="27" t="s">
        <v>49</v>
      </c>
      <c r="B194" s="29">
        <v>0.29399999999999998</v>
      </c>
      <c r="C194" s="24">
        <v>0.37</v>
      </c>
      <c r="D194" s="26">
        <v>0.51800000000000002</v>
      </c>
    </row>
    <row r="197" spans="1:4">
      <c r="A197" s="21">
        <v>2025</v>
      </c>
      <c r="B197" s="21" t="s">
        <v>40</v>
      </c>
      <c r="C197" s="21" t="s">
        <v>51</v>
      </c>
      <c r="D197" s="21" t="s">
        <v>52</v>
      </c>
    </row>
    <row r="198" spans="1:4">
      <c r="A198" s="22" t="s">
        <v>42</v>
      </c>
      <c r="B198" s="29">
        <v>0.35399999999999998</v>
      </c>
      <c r="C198" s="24">
        <v>0.33700000000000002</v>
      </c>
      <c r="D198" s="26">
        <v>0.36399999999999999</v>
      </c>
    </row>
    <row r="199" spans="1:4">
      <c r="A199" s="25" t="s">
        <v>43</v>
      </c>
      <c r="B199" s="29">
        <v>0.53700000000000003</v>
      </c>
      <c r="C199" s="24">
        <v>0.50800000000000001</v>
      </c>
      <c r="D199" s="26">
        <v>0.55300000000000005</v>
      </c>
    </row>
    <row r="200" spans="1:4">
      <c r="A200" s="25" t="s">
        <v>44</v>
      </c>
      <c r="B200" s="29">
        <v>0.54300000000000004</v>
      </c>
      <c r="C200" s="24">
        <v>0.50700000000000001</v>
      </c>
      <c r="D200" s="26">
        <v>0.56299999999999994</v>
      </c>
    </row>
    <row r="201" spans="1:4">
      <c r="A201" s="25" t="s">
        <v>45</v>
      </c>
      <c r="B201" s="29">
        <v>0.56200000000000006</v>
      </c>
      <c r="C201" s="24">
        <v>0.57699999999999996</v>
      </c>
      <c r="D201" s="26">
        <v>0.53500000000000003</v>
      </c>
    </row>
    <row r="202" spans="1:4">
      <c r="A202" s="27" t="s">
        <v>46</v>
      </c>
      <c r="B202" s="29">
        <v>0.45600000000000002</v>
      </c>
      <c r="C202" s="24">
        <v>0.46200000000000002</v>
      </c>
      <c r="D202" s="26">
        <v>0.45300000000000001</v>
      </c>
    </row>
    <row r="203" spans="1:4">
      <c r="A203" s="27" t="s">
        <v>47</v>
      </c>
      <c r="B203" s="29">
        <v>0.48099999999999998</v>
      </c>
      <c r="C203" s="24">
        <v>0.46400000000000002</v>
      </c>
      <c r="D203" s="26">
        <v>0.49099999999999999</v>
      </c>
    </row>
    <row r="204" spans="1:4">
      <c r="A204" s="27" t="s">
        <v>48</v>
      </c>
      <c r="B204" s="29">
        <v>0.58599999999999997</v>
      </c>
      <c r="C204" s="24">
        <v>0.61399999999999999</v>
      </c>
      <c r="D204" s="26">
        <v>0.56999999999999995</v>
      </c>
    </row>
    <row r="205" spans="1:4">
      <c r="A205" s="27" t="s">
        <v>49</v>
      </c>
      <c r="B205" s="29">
        <v>0.29399999999999998</v>
      </c>
      <c r="C205" s="24">
        <v>0.27400000000000002</v>
      </c>
      <c r="D205" s="26">
        <v>0.30599999999999999</v>
      </c>
    </row>
  </sheetData>
  <mergeCells count="13">
    <mergeCell ref="A133:C133"/>
    <mergeCell ref="A138:C138"/>
    <mergeCell ref="A143:C143"/>
    <mergeCell ref="A148:C148"/>
    <mergeCell ref="A118:C118"/>
    <mergeCell ref="A123:C123"/>
    <mergeCell ref="A128:C128"/>
    <mergeCell ref="A113:C113"/>
    <mergeCell ref="A4:C4"/>
    <mergeCell ref="A1:G2"/>
    <mergeCell ref="A32:C32"/>
    <mergeCell ref="A59:C59"/>
    <mergeCell ref="A86:C86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52F0-1A9D-3A47-91CD-BEB945F48185}">
  <dimension ref="A1:AL196"/>
  <sheetViews>
    <sheetView topLeftCell="A173" zoomScale="75" zoomScaleNormal="60" workbookViewId="0">
      <selection activeCell="A142" sqref="A142"/>
    </sheetView>
  </sheetViews>
  <sheetFormatPr baseColWidth="10" defaultColWidth="11" defaultRowHeight="16"/>
  <cols>
    <col min="1" max="1" width="85.33203125" customWidth="1"/>
    <col min="2" max="2" width="19" customWidth="1"/>
    <col min="3" max="3" width="21.1640625" customWidth="1"/>
    <col min="4" max="4" width="16.6640625" customWidth="1"/>
  </cols>
  <sheetData>
    <row r="1" spans="1:13">
      <c r="A1" s="174" t="s">
        <v>4</v>
      </c>
      <c r="B1" s="174"/>
      <c r="C1" s="174"/>
      <c r="D1" s="174"/>
      <c r="E1" s="174"/>
      <c r="F1" s="174"/>
    </row>
    <row r="2" spans="1:13">
      <c r="A2" s="174"/>
      <c r="B2" s="174"/>
      <c r="C2" s="174"/>
      <c r="D2" s="174"/>
      <c r="E2" s="174"/>
      <c r="F2" s="174"/>
    </row>
    <row r="4" spans="1:13" ht="17" thickBot="1"/>
    <row r="5" spans="1:13" ht="24" thickBot="1">
      <c r="A5" s="33"/>
      <c r="B5" s="34" t="s">
        <v>72</v>
      </c>
      <c r="C5" s="34" t="s">
        <v>71</v>
      </c>
      <c r="H5" s="97"/>
      <c r="I5" s="97"/>
      <c r="J5" s="97"/>
      <c r="K5" s="98"/>
      <c r="L5" s="134"/>
      <c r="M5" s="134"/>
    </row>
    <row r="6" spans="1:13" ht="23" thickBot="1">
      <c r="A6" s="35" t="s">
        <v>70</v>
      </c>
      <c r="B6" s="96">
        <v>2.8</v>
      </c>
      <c r="C6" s="36">
        <v>3</v>
      </c>
      <c r="H6" s="97"/>
      <c r="I6" s="97"/>
      <c r="J6" s="97"/>
      <c r="K6" s="98"/>
      <c r="L6" s="134"/>
      <c r="M6" s="134"/>
    </row>
    <row r="7" spans="1:13" ht="23" thickBot="1">
      <c r="A7" s="35" t="s">
        <v>69</v>
      </c>
      <c r="B7" s="96">
        <v>3.8</v>
      </c>
      <c r="C7" s="36">
        <v>3.8</v>
      </c>
      <c r="H7" s="97"/>
      <c r="I7" s="97"/>
      <c r="J7" s="97"/>
      <c r="K7" s="98"/>
      <c r="L7" s="134"/>
      <c r="M7" s="134"/>
    </row>
    <row r="8" spans="1:13" ht="23" thickBot="1">
      <c r="A8" s="35" t="s">
        <v>68</v>
      </c>
      <c r="B8" s="96">
        <v>3.9</v>
      </c>
      <c r="C8" s="36">
        <v>4.2</v>
      </c>
      <c r="H8" s="97"/>
      <c r="I8" s="97"/>
      <c r="J8" s="97"/>
      <c r="K8" s="98"/>
      <c r="L8" s="134"/>
      <c r="M8" s="134"/>
    </row>
    <row r="9" spans="1:13" ht="23" thickBot="1">
      <c r="A9" s="35" t="s">
        <v>67</v>
      </c>
      <c r="B9" s="96">
        <v>4.3</v>
      </c>
      <c r="C9" s="36">
        <v>4.3</v>
      </c>
      <c r="H9" s="97"/>
      <c r="I9" s="97"/>
      <c r="J9" s="97"/>
      <c r="K9" s="98"/>
      <c r="L9" s="134"/>
      <c r="M9" s="134"/>
    </row>
    <row r="10" spans="1:13" ht="23" thickBot="1">
      <c r="A10" s="35" t="s">
        <v>64</v>
      </c>
      <c r="B10" s="96">
        <v>4.5</v>
      </c>
      <c r="C10" s="36">
        <v>4.5</v>
      </c>
      <c r="H10" s="97"/>
      <c r="I10" s="97"/>
      <c r="J10" s="97"/>
      <c r="K10" s="98"/>
      <c r="L10" s="134"/>
      <c r="M10" s="134"/>
    </row>
    <row r="11" spans="1:13" ht="23" thickBot="1">
      <c r="A11" s="35" t="s">
        <v>65</v>
      </c>
      <c r="B11" s="96">
        <v>4.4000000000000004</v>
      </c>
      <c r="C11" s="36">
        <v>4.5</v>
      </c>
      <c r="H11" s="97"/>
      <c r="I11" s="97"/>
      <c r="J11" s="97"/>
      <c r="K11" s="98"/>
      <c r="L11" s="134"/>
      <c r="M11" s="134"/>
    </row>
    <row r="12" spans="1:13" ht="23" thickBot="1">
      <c r="A12" s="35" t="s">
        <v>66</v>
      </c>
      <c r="B12" s="96">
        <v>4.8</v>
      </c>
      <c r="C12" s="36">
        <v>4.5</v>
      </c>
      <c r="H12" s="97"/>
      <c r="I12" s="97"/>
      <c r="J12" s="97"/>
      <c r="K12" s="98"/>
      <c r="L12" s="134"/>
      <c r="M12" s="134"/>
    </row>
    <row r="13" spans="1:13" ht="23" thickBot="1">
      <c r="A13" s="35" t="s">
        <v>63</v>
      </c>
      <c r="B13" s="96">
        <v>4.8</v>
      </c>
      <c r="C13" s="36">
        <v>4.7</v>
      </c>
      <c r="H13" s="97"/>
      <c r="I13" s="97"/>
      <c r="J13" s="97"/>
      <c r="K13" s="98"/>
      <c r="L13" s="134"/>
      <c r="M13" s="134"/>
    </row>
    <row r="14" spans="1:13" ht="23" thickBot="1">
      <c r="A14" s="35" t="s">
        <v>62</v>
      </c>
      <c r="B14" s="96">
        <v>4.8</v>
      </c>
      <c r="C14" s="36">
        <v>5</v>
      </c>
      <c r="H14" s="97"/>
      <c r="I14" s="97"/>
      <c r="J14" s="97"/>
      <c r="K14" s="98"/>
      <c r="L14" s="134"/>
      <c r="M14" s="134"/>
    </row>
    <row r="15" spans="1:13" ht="23" thickBot="1">
      <c r="A15" s="35" t="s">
        <v>61</v>
      </c>
      <c r="B15" s="96">
        <v>5.3</v>
      </c>
      <c r="C15" s="36">
        <v>5.0999999999999996</v>
      </c>
      <c r="H15" s="97"/>
      <c r="I15" s="97"/>
      <c r="J15" s="97"/>
      <c r="K15" s="98"/>
      <c r="L15" s="134"/>
      <c r="M15" s="134"/>
    </row>
    <row r="16" spans="1:13" ht="23" thickBot="1">
      <c r="A16" s="35" t="s">
        <v>60</v>
      </c>
      <c r="B16" s="96">
        <v>5.3</v>
      </c>
      <c r="C16" s="36">
        <v>5.4</v>
      </c>
      <c r="H16" s="97"/>
      <c r="I16" s="97"/>
      <c r="J16" s="97"/>
      <c r="K16" s="98"/>
      <c r="L16" s="134"/>
      <c r="M16" s="134"/>
    </row>
    <row r="17" spans="1:13" ht="23" thickBot="1">
      <c r="A17" s="35" t="s">
        <v>59</v>
      </c>
      <c r="B17" s="96">
        <v>6.2</v>
      </c>
      <c r="C17" s="36">
        <v>5.9</v>
      </c>
      <c r="H17" s="97"/>
      <c r="I17" s="97"/>
      <c r="J17" s="97"/>
      <c r="K17" s="98"/>
      <c r="L17" s="134"/>
      <c r="M17" s="134"/>
    </row>
    <row r="18" spans="1:13" ht="23" thickBot="1">
      <c r="A18" s="35" t="s">
        <v>58</v>
      </c>
      <c r="B18" s="96">
        <v>6.6</v>
      </c>
      <c r="C18" s="36">
        <v>6.2</v>
      </c>
    </row>
    <row r="20" spans="1:13" ht="17" thickBot="1"/>
    <row r="21" spans="1:13" ht="24" thickBot="1">
      <c r="A21" s="33"/>
      <c r="B21" s="34" t="s">
        <v>72</v>
      </c>
      <c r="C21" s="34" t="s">
        <v>73</v>
      </c>
      <c r="D21" s="34" t="s">
        <v>74</v>
      </c>
    </row>
    <row r="22" spans="1:13" ht="23" thickBot="1">
      <c r="A22" s="35" t="s">
        <v>58</v>
      </c>
      <c r="B22" s="96">
        <v>6.6</v>
      </c>
      <c r="C22" s="36">
        <v>7</v>
      </c>
      <c r="D22" s="36">
        <v>6.3</v>
      </c>
    </row>
    <row r="23" spans="1:13" ht="23" thickBot="1">
      <c r="A23" s="35" t="s">
        <v>59</v>
      </c>
      <c r="B23" s="96">
        <v>6.2</v>
      </c>
      <c r="C23" s="36">
        <v>6.5</v>
      </c>
      <c r="D23" s="36">
        <v>6</v>
      </c>
    </row>
    <row r="24" spans="1:13" ht="23" thickBot="1">
      <c r="A24" s="35" t="s">
        <v>60</v>
      </c>
      <c r="B24" s="96">
        <v>5.3</v>
      </c>
      <c r="C24" s="36">
        <v>5.9</v>
      </c>
      <c r="D24" s="36">
        <v>4.7</v>
      </c>
    </row>
    <row r="25" spans="1:13" ht="23" thickBot="1">
      <c r="A25" s="35" t="s">
        <v>61</v>
      </c>
      <c r="B25" s="96">
        <v>5.3</v>
      </c>
      <c r="C25" s="36">
        <v>5.6</v>
      </c>
      <c r="D25" s="36">
        <v>5</v>
      </c>
    </row>
    <row r="26" spans="1:13" ht="23" thickBot="1">
      <c r="A26" s="35" t="s">
        <v>62</v>
      </c>
      <c r="B26" s="96">
        <v>4.8</v>
      </c>
      <c r="C26" s="36">
        <v>5.0999999999999996</v>
      </c>
      <c r="D26" s="36">
        <v>4.5999999999999996</v>
      </c>
    </row>
    <row r="27" spans="1:13" ht="23" thickBot="1">
      <c r="A27" s="35" t="s">
        <v>63</v>
      </c>
      <c r="B27" s="96">
        <v>4.8</v>
      </c>
      <c r="C27" s="36">
        <v>5.2</v>
      </c>
      <c r="D27" s="36">
        <v>4.4000000000000004</v>
      </c>
    </row>
    <row r="28" spans="1:13" ht="23" thickBot="1">
      <c r="A28" s="35" t="s">
        <v>64</v>
      </c>
      <c r="B28" s="96">
        <v>4.5</v>
      </c>
      <c r="C28" s="36">
        <v>5.2</v>
      </c>
      <c r="D28" s="36">
        <v>4.4000000000000004</v>
      </c>
    </row>
    <row r="29" spans="1:13" ht="23" thickBot="1">
      <c r="A29" s="35" t="s">
        <v>65</v>
      </c>
      <c r="B29" s="96">
        <v>4.4000000000000004</v>
      </c>
      <c r="C29" s="36">
        <v>5.3</v>
      </c>
      <c r="D29" s="36">
        <v>3.7</v>
      </c>
    </row>
    <row r="30" spans="1:13" ht="23" thickBot="1">
      <c r="A30" s="35" t="s">
        <v>66</v>
      </c>
      <c r="B30" s="96">
        <v>4.8</v>
      </c>
      <c r="C30" s="36">
        <v>4.5999999999999996</v>
      </c>
      <c r="D30" s="36">
        <v>4.2</v>
      </c>
    </row>
    <row r="31" spans="1:13" ht="23" thickBot="1">
      <c r="A31" s="35" t="s">
        <v>67</v>
      </c>
      <c r="B31" s="96">
        <v>4.3</v>
      </c>
      <c r="C31" s="36">
        <v>4.8</v>
      </c>
      <c r="D31" s="36">
        <v>3.8</v>
      </c>
    </row>
    <row r="32" spans="1:13" ht="23" thickBot="1">
      <c r="A32" s="35" t="s">
        <v>68</v>
      </c>
      <c r="B32" s="96">
        <v>3.9</v>
      </c>
      <c r="C32" s="36">
        <v>4</v>
      </c>
      <c r="D32" s="36">
        <v>3.8</v>
      </c>
    </row>
    <row r="33" spans="1:6" ht="23" thickBot="1">
      <c r="A33" s="35" t="s">
        <v>69</v>
      </c>
      <c r="B33" s="96">
        <v>3.8</v>
      </c>
      <c r="C33" s="36">
        <v>3.8</v>
      </c>
      <c r="D33" s="36">
        <v>3.8</v>
      </c>
    </row>
    <row r="34" spans="1:6" ht="23" thickBot="1">
      <c r="A34" s="35" t="s">
        <v>70</v>
      </c>
      <c r="B34" s="96">
        <v>2.8</v>
      </c>
      <c r="C34" s="36">
        <v>3</v>
      </c>
      <c r="D34" s="36">
        <v>2.6</v>
      </c>
    </row>
    <row r="37" spans="1:6">
      <c r="B37" s="51">
        <v>2025</v>
      </c>
      <c r="C37" s="37">
        <v>2024</v>
      </c>
      <c r="D37" s="37">
        <v>2023</v>
      </c>
      <c r="E37" s="37">
        <v>2022</v>
      </c>
      <c r="F37" s="38">
        <v>2021</v>
      </c>
    </row>
    <row r="38" spans="1:6">
      <c r="A38" s="39" t="s">
        <v>75</v>
      </c>
      <c r="B38" s="39">
        <v>2.8</v>
      </c>
      <c r="C38" s="40">
        <v>3.03</v>
      </c>
      <c r="D38" s="41">
        <v>3.16</v>
      </c>
      <c r="E38" s="41">
        <v>5.0999999999999996</v>
      </c>
      <c r="F38" s="42">
        <v>3.6</v>
      </c>
    </row>
    <row r="39" spans="1:6">
      <c r="A39" s="43" t="s">
        <v>69</v>
      </c>
      <c r="B39" s="43">
        <v>3.8</v>
      </c>
      <c r="C39" s="44">
        <v>3.79</v>
      </c>
      <c r="D39" s="41">
        <v>4.0599999999999996</v>
      </c>
      <c r="E39" s="41">
        <v>4.5999999999999996</v>
      </c>
      <c r="F39" s="42">
        <v>4.34</v>
      </c>
    </row>
    <row r="40" spans="1:6">
      <c r="A40" s="43" t="s">
        <v>68</v>
      </c>
      <c r="B40" s="43">
        <v>3.9</v>
      </c>
      <c r="C40" s="44">
        <v>4.2300000000000004</v>
      </c>
      <c r="D40" s="41">
        <v>4.0199999999999996</v>
      </c>
      <c r="E40" s="41">
        <v>4</v>
      </c>
      <c r="F40" s="42">
        <v>3.88</v>
      </c>
    </row>
    <row r="41" spans="1:6">
      <c r="A41" s="43" t="s">
        <v>67</v>
      </c>
      <c r="B41" s="43">
        <v>4.3</v>
      </c>
      <c r="C41" s="44">
        <v>4.29</v>
      </c>
      <c r="D41" s="41">
        <v>4.09</v>
      </c>
      <c r="E41" s="41">
        <v>4.3</v>
      </c>
      <c r="F41" s="42">
        <v>4.71</v>
      </c>
    </row>
    <row r="42" spans="1:6">
      <c r="A42" s="43" t="s">
        <v>66</v>
      </c>
      <c r="B42" s="43">
        <v>4.5</v>
      </c>
      <c r="C42" s="44">
        <v>4.46</v>
      </c>
      <c r="D42" s="41">
        <v>4.53</v>
      </c>
      <c r="E42" s="41">
        <v>4</v>
      </c>
      <c r="F42" s="42">
        <v>3.7</v>
      </c>
    </row>
    <row r="43" spans="1:6">
      <c r="A43" s="43" t="s">
        <v>76</v>
      </c>
      <c r="B43" s="43">
        <v>4.4000000000000004</v>
      </c>
      <c r="C43" s="44">
        <v>4.5</v>
      </c>
      <c r="D43" s="41">
        <v>4.5</v>
      </c>
      <c r="E43" s="41">
        <v>4.2</v>
      </c>
      <c r="F43" s="42">
        <v>3.93</v>
      </c>
    </row>
    <row r="44" spans="1:6">
      <c r="A44" s="45" t="s">
        <v>77</v>
      </c>
      <c r="B44" s="45">
        <v>4.8</v>
      </c>
      <c r="C44" s="44">
        <v>4.53</v>
      </c>
      <c r="D44" s="46">
        <v>4.16</v>
      </c>
      <c r="E44" s="46">
        <v>4.3</v>
      </c>
      <c r="F44" s="42">
        <v>4.04</v>
      </c>
    </row>
    <row r="45" spans="1:6">
      <c r="A45" s="43" t="s">
        <v>78</v>
      </c>
      <c r="B45" s="43">
        <v>4.8</v>
      </c>
      <c r="C45" s="44">
        <v>4.74</v>
      </c>
      <c r="D45" s="41">
        <v>4.4800000000000004</v>
      </c>
      <c r="E45" s="41">
        <v>4.5</v>
      </c>
      <c r="F45" s="42">
        <v>4.46</v>
      </c>
    </row>
    <row r="46" spans="1:6">
      <c r="A46" s="43" t="s">
        <v>79</v>
      </c>
      <c r="B46" s="43">
        <v>4.8</v>
      </c>
      <c r="C46" s="44">
        <v>5.03</v>
      </c>
      <c r="D46" s="41">
        <v>5.28</v>
      </c>
      <c r="E46" s="41">
        <v>3.7</v>
      </c>
      <c r="F46" s="42">
        <v>4.92</v>
      </c>
    </row>
    <row r="47" spans="1:6">
      <c r="A47" s="43" t="s">
        <v>80</v>
      </c>
      <c r="B47" s="43">
        <v>5.3</v>
      </c>
      <c r="C47" s="44">
        <v>5.0999999999999996</v>
      </c>
      <c r="D47" s="41">
        <v>5</v>
      </c>
      <c r="E47" s="41">
        <v>4.9000000000000004</v>
      </c>
      <c r="F47" s="42">
        <v>4.87</v>
      </c>
    </row>
    <row r="48" spans="1:6">
      <c r="A48" s="43" t="s">
        <v>60</v>
      </c>
      <c r="B48" s="43">
        <v>5.3</v>
      </c>
      <c r="C48" s="44">
        <v>5.42</v>
      </c>
      <c r="D48" s="41">
        <v>5.34</v>
      </c>
      <c r="E48" s="41">
        <v>5.2</v>
      </c>
      <c r="F48" s="42">
        <v>5.4</v>
      </c>
    </row>
    <row r="49" spans="1:13">
      <c r="A49" s="43" t="s">
        <v>59</v>
      </c>
      <c r="B49" s="43">
        <v>6.2</v>
      </c>
      <c r="C49" s="44">
        <v>5.91</v>
      </c>
      <c r="D49" s="41">
        <v>5.77</v>
      </c>
      <c r="E49" s="41">
        <v>6</v>
      </c>
      <c r="F49" s="42">
        <v>5.63</v>
      </c>
    </row>
    <row r="50" spans="1:13">
      <c r="A50" s="43" t="s">
        <v>58</v>
      </c>
      <c r="B50" s="43">
        <v>6.6</v>
      </c>
      <c r="C50" s="44">
        <v>6.15</v>
      </c>
      <c r="D50" s="41">
        <v>6.12</v>
      </c>
      <c r="E50" s="41">
        <v>5.7</v>
      </c>
      <c r="F50" s="42">
        <v>6.27</v>
      </c>
    </row>
    <row r="51" spans="1:13">
      <c r="A51" s="47" t="s">
        <v>81</v>
      </c>
      <c r="B51" s="47"/>
      <c r="C51" s="48" t="s">
        <v>82</v>
      </c>
      <c r="D51" s="49" t="s">
        <v>82</v>
      </c>
      <c r="E51" s="49" t="s">
        <v>82</v>
      </c>
      <c r="F51" s="50" t="s">
        <v>82</v>
      </c>
    </row>
    <row r="53" spans="1:13" ht="17" thickBot="1"/>
    <row r="54" spans="1:13" ht="24" thickBot="1">
      <c r="A54" s="33"/>
      <c r="B54" s="34" t="s">
        <v>72</v>
      </c>
      <c r="C54" s="34" t="s">
        <v>56</v>
      </c>
      <c r="D54" s="34" t="s">
        <v>144</v>
      </c>
      <c r="J54" s="97"/>
      <c r="K54" s="97"/>
      <c r="L54" s="97"/>
      <c r="M54" s="98"/>
    </row>
    <row r="55" spans="1:13" ht="23" thickBot="1">
      <c r="A55" s="35" t="s">
        <v>70</v>
      </c>
      <c r="B55" s="96">
        <v>2.8</v>
      </c>
      <c r="C55" s="36">
        <v>2.2999999999999998</v>
      </c>
      <c r="D55" s="36">
        <v>3.4</v>
      </c>
      <c r="J55" s="97"/>
      <c r="K55" s="97"/>
      <c r="L55" s="97"/>
      <c r="M55" s="98"/>
    </row>
    <row r="56" spans="1:13" ht="23" thickBot="1">
      <c r="A56" s="35" t="s">
        <v>69</v>
      </c>
      <c r="B56" s="96">
        <v>3.8</v>
      </c>
      <c r="C56" s="36">
        <v>4.0999999999999996</v>
      </c>
      <c r="D56" s="36">
        <v>4.5999999999999996</v>
      </c>
      <c r="J56" s="97"/>
      <c r="K56" s="97"/>
      <c r="L56" s="97"/>
      <c r="M56" s="98"/>
    </row>
    <row r="57" spans="1:13" ht="23" thickBot="1">
      <c r="A57" s="35" t="s">
        <v>68</v>
      </c>
      <c r="B57" s="96">
        <v>3.9</v>
      </c>
      <c r="C57" s="36">
        <v>4</v>
      </c>
      <c r="D57" s="36">
        <v>4.7</v>
      </c>
      <c r="J57" s="97"/>
      <c r="K57" s="97"/>
      <c r="L57" s="97"/>
      <c r="M57" s="98"/>
    </row>
    <row r="58" spans="1:13" ht="23" thickBot="1">
      <c r="A58" s="35" t="s">
        <v>67</v>
      </c>
      <c r="B58" s="96">
        <v>4.3</v>
      </c>
      <c r="C58" s="36">
        <v>3.8</v>
      </c>
      <c r="D58" s="36">
        <v>4.5999999999999996</v>
      </c>
      <c r="J58" s="97"/>
      <c r="K58" s="97"/>
      <c r="L58" s="97"/>
      <c r="M58" s="98"/>
    </row>
    <row r="59" spans="1:13" ht="23" thickBot="1">
      <c r="A59" s="35" t="s">
        <v>65</v>
      </c>
      <c r="B59" s="96">
        <v>4.4000000000000004</v>
      </c>
      <c r="C59" s="36">
        <v>3.8</v>
      </c>
      <c r="D59" s="36">
        <v>4.5</v>
      </c>
      <c r="J59" s="97"/>
      <c r="K59" s="97"/>
      <c r="L59" s="97"/>
      <c r="M59" s="98"/>
    </row>
    <row r="60" spans="1:13" ht="23" thickBot="1">
      <c r="A60" s="35" t="s">
        <v>64</v>
      </c>
      <c r="B60" s="96">
        <v>4.5</v>
      </c>
      <c r="C60" s="36">
        <v>3.8</v>
      </c>
      <c r="D60" s="36">
        <v>4.5</v>
      </c>
      <c r="J60" s="97"/>
      <c r="K60" s="97"/>
      <c r="L60" s="97"/>
      <c r="M60" s="98"/>
    </row>
    <row r="61" spans="1:13" ht="23" thickBot="1">
      <c r="A61" s="35" t="s">
        <v>62</v>
      </c>
      <c r="B61" s="96">
        <v>4.8</v>
      </c>
      <c r="C61" s="36">
        <v>4.2</v>
      </c>
      <c r="D61" s="36">
        <v>4.2</v>
      </c>
      <c r="J61" s="97"/>
      <c r="K61" s="97"/>
      <c r="L61" s="97"/>
      <c r="M61" s="98"/>
    </row>
    <row r="62" spans="1:13" ht="23" thickBot="1">
      <c r="A62" s="35" t="s">
        <v>63</v>
      </c>
      <c r="B62" s="96">
        <v>4.8</v>
      </c>
      <c r="C62" s="36">
        <v>5.0999999999999996</v>
      </c>
      <c r="D62" s="36">
        <v>4.9000000000000004</v>
      </c>
      <c r="J62" s="97"/>
      <c r="K62" s="97"/>
      <c r="L62" s="97"/>
      <c r="M62" s="98"/>
    </row>
    <row r="63" spans="1:13" ht="23" thickBot="1">
      <c r="A63" s="35" t="s">
        <v>66</v>
      </c>
      <c r="B63" s="96">
        <v>4.8</v>
      </c>
      <c r="C63" s="36">
        <v>4.5999999999999996</v>
      </c>
      <c r="D63" s="36">
        <v>5.3</v>
      </c>
      <c r="J63" s="97"/>
      <c r="K63" s="97"/>
      <c r="L63" s="97"/>
      <c r="M63" s="98"/>
    </row>
    <row r="64" spans="1:13" ht="23" thickBot="1">
      <c r="A64" s="35" t="s">
        <v>60</v>
      </c>
      <c r="B64" s="96">
        <v>5.3</v>
      </c>
      <c r="C64" s="36">
        <v>3.3</v>
      </c>
      <c r="D64" s="36">
        <v>3.9</v>
      </c>
      <c r="J64" s="97"/>
      <c r="K64" s="97"/>
      <c r="L64" s="97"/>
      <c r="M64" s="98"/>
    </row>
    <row r="65" spans="1:16" ht="23" thickBot="1">
      <c r="A65" s="35" t="s">
        <v>61</v>
      </c>
      <c r="B65" s="96">
        <v>5.3</v>
      </c>
      <c r="C65" s="36">
        <v>6</v>
      </c>
      <c r="D65" s="36">
        <v>5.6</v>
      </c>
      <c r="J65" s="97"/>
      <c r="K65" s="97"/>
      <c r="L65" s="97"/>
      <c r="M65" s="98"/>
    </row>
    <row r="66" spans="1:16" ht="23" thickBot="1">
      <c r="A66" s="35" t="s">
        <v>59</v>
      </c>
      <c r="B66" s="96">
        <v>6.2</v>
      </c>
      <c r="C66" s="36">
        <v>6.7</v>
      </c>
      <c r="D66" s="36">
        <v>6.5</v>
      </c>
      <c r="J66" s="97"/>
      <c r="K66" s="97"/>
      <c r="L66" s="97"/>
      <c r="M66" s="98"/>
    </row>
    <row r="67" spans="1:16" ht="23" thickBot="1">
      <c r="A67" s="35" t="s">
        <v>58</v>
      </c>
      <c r="B67" s="96">
        <v>6.6</v>
      </c>
      <c r="C67" s="36">
        <v>5.0999999999999996</v>
      </c>
      <c r="D67" s="36">
        <v>4.9000000000000004</v>
      </c>
    </row>
    <row r="70" spans="1:16">
      <c r="I70" s="95"/>
      <c r="J70" s="95"/>
      <c r="K70" s="95"/>
      <c r="L70" s="95"/>
      <c r="M70" s="95"/>
      <c r="N70" s="95"/>
      <c r="O70" s="95"/>
      <c r="P70" s="95"/>
    </row>
    <row r="71" spans="1:16">
      <c r="A71" s="177" t="s">
        <v>83</v>
      </c>
      <c r="B71" s="177"/>
      <c r="C71" s="52"/>
      <c r="D71" s="52"/>
      <c r="E71" s="52"/>
      <c r="F71" s="52"/>
    </row>
    <row r="72" spans="1:16" ht="17" thickBot="1"/>
    <row r="73" spans="1:16" ht="41" thickBot="1">
      <c r="A73" s="35" t="s">
        <v>84</v>
      </c>
      <c r="B73" s="135">
        <v>3.47</v>
      </c>
    </row>
    <row r="74" spans="1:16" ht="61" thickBot="1">
      <c r="A74" s="35" t="s">
        <v>85</v>
      </c>
      <c r="B74" s="135">
        <v>3.51</v>
      </c>
    </row>
    <row r="75" spans="1:16" ht="61" thickBot="1">
      <c r="A75" s="35" t="s">
        <v>86</v>
      </c>
      <c r="B75" s="135">
        <v>2.63</v>
      </c>
    </row>
    <row r="76" spans="1:16" ht="41" thickBot="1">
      <c r="A76" s="35" t="s">
        <v>87</v>
      </c>
      <c r="B76" s="135">
        <v>4.8600000000000003</v>
      </c>
    </row>
    <row r="77" spans="1:16" ht="41" thickBot="1">
      <c r="A77" s="35" t="s">
        <v>88</v>
      </c>
      <c r="B77" s="135">
        <v>4.7300000000000004</v>
      </c>
    </row>
    <row r="78" spans="1:16" ht="41" thickBot="1">
      <c r="A78" s="35" t="s">
        <v>89</v>
      </c>
      <c r="B78" s="135">
        <v>2.88</v>
      </c>
    </row>
    <row r="79" spans="1:16" ht="41" thickBot="1">
      <c r="A79" s="35" t="s">
        <v>90</v>
      </c>
      <c r="B79" s="135">
        <v>3.52</v>
      </c>
    </row>
    <row r="80" spans="1:16" ht="41" thickBot="1">
      <c r="A80" s="35" t="s">
        <v>91</v>
      </c>
      <c r="B80" s="135">
        <v>3.69</v>
      </c>
    </row>
    <row r="81" spans="1:17"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</row>
    <row r="83" spans="1:17">
      <c r="A83" s="177" t="s">
        <v>145</v>
      </c>
      <c r="B83" s="177"/>
      <c r="C83" s="52"/>
      <c r="D83" s="52"/>
      <c r="E83" s="52"/>
      <c r="F83" s="52"/>
    </row>
    <row r="84" spans="1:17">
      <c r="A84" s="137" t="s">
        <v>146</v>
      </c>
      <c r="B84" s="135">
        <v>4.8899999999999997</v>
      </c>
    </row>
    <row r="85" spans="1:17">
      <c r="A85" s="137" t="s">
        <v>147</v>
      </c>
      <c r="B85" s="135">
        <v>5.34</v>
      </c>
    </row>
    <row r="86" spans="1:17">
      <c r="A86" s="137" t="s">
        <v>148</v>
      </c>
      <c r="B86" s="135">
        <v>5.1100000000000003</v>
      </c>
    </row>
    <row r="87" spans="1:17">
      <c r="A87" s="137" t="s">
        <v>149</v>
      </c>
      <c r="B87" s="135">
        <v>4.21</v>
      </c>
    </row>
    <row r="88" spans="1:17">
      <c r="A88" s="137" t="s">
        <v>150</v>
      </c>
      <c r="B88" s="135">
        <v>5.33</v>
      </c>
    </row>
    <row r="89" spans="1:17">
      <c r="A89" s="137" t="s">
        <v>151</v>
      </c>
      <c r="B89" s="135">
        <v>4.8</v>
      </c>
    </row>
    <row r="90" spans="1:17">
      <c r="A90" s="137" t="s">
        <v>152</v>
      </c>
      <c r="B90" s="135">
        <v>6.06</v>
      </c>
    </row>
    <row r="91" spans="1:17">
      <c r="A91" s="137" t="s">
        <v>153</v>
      </c>
      <c r="B91" s="135">
        <v>5.9</v>
      </c>
    </row>
    <row r="92" spans="1:17">
      <c r="A92" s="137" t="s">
        <v>154</v>
      </c>
      <c r="B92" s="135">
        <v>5.66</v>
      </c>
    </row>
    <row r="93" spans="1:17" ht="29">
      <c r="A93" s="137" t="s">
        <v>155</v>
      </c>
      <c r="B93" s="135">
        <v>5.58</v>
      </c>
      <c r="C93" s="99"/>
      <c r="D93" s="99"/>
      <c r="E93" s="99"/>
      <c r="F93" s="99"/>
    </row>
    <row r="94" spans="1:17">
      <c r="A94" s="137" t="s">
        <v>156</v>
      </c>
      <c r="B94" s="135">
        <v>5.99</v>
      </c>
    </row>
    <row r="95" spans="1:17">
      <c r="A95" s="137" t="s">
        <v>157</v>
      </c>
      <c r="B95" s="135">
        <v>5.71</v>
      </c>
      <c r="D95" s="102"/>
      <c r="E95" s="102"/>
      <c r="F95" s="102"/>
    </row>
    <row r="96" spans="1:17">
      <c r="A96" s="137" t="s">
        <v>158</v>
      </c>
      <c r="B96" s="135">
        <v>5.69</v>
      </c>
      <c r="D96" s="103"/>
      <c r="E96" s="104"/>
      <c r="F96" s="103"/>
    </row>
    <row r="97" spans="1:25">
      <c r="C97" s="100"/>
      <c r="D97" s="101"/>
      <c r="E97" s="101"/>
      <c r="F97" s="101"/>
    </row>
    <row r="98" spans="1:25">
      <c r="C98" s="100"/>
      <c r="D98" s="101"/>
      <c r="E98" s="101"/>
      <c r="F98" s="101"/>
    </row>
    <row r="99" spans="1:25">
      <c r="A99" s="176" t="s">
        <v>171</v>
      </c>
      <c r="B99" s="176"/>
      <c r="C99" s="100"/>
      <c r="D99" s="101"/>
      <c r="E99" s="101"/>
      <c r="F99" s="101"/>
    </row>
    <row r="100" spans="1:25"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</row>
    <row r="101" spans="1:25">
      <c r="A101" t="s">
        <v>159</v>
      </c>
      <c r="B101" s="135">
        <v>3.4</v>
      </c>
      <c r="C101" s="100"/>
      <c r="D101" s="101"/>
      <c r="E101" s="101"/>
      <c r="F101" s="101"/>
    </row>
    <row r="102" spans="1:25">
      <c r="A102" t="s">
        <v>160</v>
      </c>
      <c r="B102" s="135">
        <v>4.78</v>
      </c>
      <c r="C102" s="100"/>
      <c r="D102" s="101"/>
      <c r="E102" s="101"/>
      <c r="F102" s="101"/>
    </row>
    <row r="103" spans="1:25">
      <c r="A103" t="s">
        <v>161</v>
      </c>
      <c r="B103" s="135">
        <v>5.69</v>
      </c>
      <c r="C103" s="100"/>
      <c r="D103" s="101"/>
      <c r="E103" s="101"/>
      <c r="F103" s="101"/>
    </row>
    <row r="104" spans="1:25">
      <c r="A104" t="s">
        <v>162</v>
      </c>
      <c r="B104" s="135">
        <v>4.01</v>
      </c>
      <c r="C104" s="100"/>
      <c r="D104" s="101"/>
      <c r="E104" s="101"/>
      <c r="F104" s="101"/>
    </row>
    <row r="105" spans="1:25">
      <c r="A105" t="s">
        <v>163</v>
      </c>
      <c r="B105" s="135">
        <v>3.76</v>
      </c>
      <c r="C105" s="52"/>
    </row>
    <row r="106" spans="1:25">
      <c r="A106" t="s">
        <v>164</v>
      </c>
      <c r="B106" s="135">
        <v>3.79</v>
      </c>
      <c r="C106" s="105"/>
      <c r="D106" s="106"/>
      <c r="E106" s="106"/>
      <c r="F106" s="106"/>
    </row>
    <row r="107" spans="1:25">
      <c r="A107" t="s">
        <v>165</v>
      </c>
      <c r="B107" s="135">
        <v>2.54</v>
      </c>
      <c r="C107" s="105"/>
      <c r="D107" s="107"/>
      <c r="E107" s="107"/>
      <c r="F107" s="107"/>
    </row>
    <row r="108" spans="1:25">
      <c r="A108" t="s">
        <v>166</v>
      </c>
      <c r="B108" s="135">
        <v>3.64</v>
      </c>
      <c r="C108" s="105"/>
      <c r="D108" s="107"/>
      <c r="E108" s="107"/>
      <c r="F108" s="107"/>
    </row>
    <row r="109" spans="1:25">
      <c r="A109" t="s">
        <v>167</v>
      </c>
      <c r="B109" s="135">
        <v>4.75</v>
      </c>
    </row>
    <row r="110" spans="1:25">
      <c r="A110" t="s">
        <v>168</v>
      </c>
      <c r="B110" s="135">
        <v>4.8499999999999996</v>
      </c>
    </row>
    <row r="111" spans="1:25" ht="29">
      <c r="A111" t="s">
        <v>169</v>
      </c>
      <c r="B111" s="135">
        <v>3.96</v>
      </c>
      <c r="C111" s="105"/>
      <c r="D111" s="106"/>
      <c r="E111" s="106"/>
      <c r="F111" s="106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spans="1:25">
      <c r="A112" t="s">
        <v>170</v>
      </c>
      <c r="B112" s="135">
        <v>3.94</v>
      </c>
      <c r="C112" s="105"/>
      <c r="D112" s="107"/>
      <c r="E112" s="107"/>
      <c r="F112" s="107"/>
    </row>
    <row r="113" spans="1:25"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</row>
    <row r="114" spans="1:25">
      <c r="A114" s="176" t="s">
        <v>180</v>
      </c>
      <c r="B114" s="176"/>
      <c r="G114" s="103"/>
      <c r="H114" s="103"/>
      <c r="I114" s="103"/>
      <c r="J114" s="103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53"/>
    </row>
    <row r="115" spans="1:25">
      <c r="B115" s="95"/>
      <c r="C115" s="95"/>
      <c r="D115" s="95"/>
      <c r="E115" s="95"/>
      <c r="F115" s="95"/>
      <c r="G115" s="95"/>
      <c r="H115" s="95"/>
      <c r="I115" s="95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23"/>
      <c r="X115" s="101"/>
      <c r="Y115" s="53"/>
    </row>
    <row r="116" spans="1:25">
      <c r="A116" s="137" t="s">
        <v>172</v>
      </c>
      <c r="B116" s="135">
        <v>5.03</v>
      </c>
      <c r="C116" s="105"/>
      <c r="D116" s="107"/>
      <c r="E116" s="107"/>
      <c r="F116" s="107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23"/>
      <c r="X116" s="101"/>
      <c r="Y116" s="124"/>
    </row>
    <row r="117" spans="1:25">
      <c r="A117" s="137" t="s">
        <v>173</v>
      </c>
      <c r="B117" s="135">
        <v>4.8099999999999996</v>
      </c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23"/>
      <c r="X117" s="101"/>
      <c r="Y117" s="53"/>
    </row>
    <row r="118" spans="1:25">
      <c r="A118" s="137" t="s">
        <v>174</v>
      </c>
      <c r="B118" s="135">
        <v>6.1</v>
      </c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23"/>
      <c r="X118" s="123"/>
      <c r="Y118" s="53"/>
    </row>
    <row r="119" spans="1:25">
      <c r="A119" s="137" t="s">
        <v>175</v>
      </c>
      <c r="B119" s="135">
        <v>6.22</v>
      </c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23"/>
      <c r="X119" s="123"/>
      <c r="Y119" s="53"/>
    </row>
    <row r="120" spans="1:25">
      <c r="A120" s="137" t="s">
        <v>176</v>
      </c>
      <c r="B120" s="135">
        <v>4.2300000000000004</v>
      </c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23"/>
      <c r="X120" s="123"/>
      <c r="Y120" s="53"/>
    </row>
    <row r="121" spans="1:25">
      <c r="A121" s="137" t="s">
        <v>177</v>
      </c>
      <c r="B121" s="135">
        <v>3.85</v>
      </c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23"/>
      <c r="X121" s="123"/>
      <c r="Y121" s="53"/>
    </row>
    <row r="122" spans="1:25">
      <c r="A122" s="137" t="s">
        <v>178</v>
      </c>
      <c r="B122" s="135">
        <v>4.49</v>
      </c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23"/>
      <c r="X122" s="123"/>
      <c r="Y122" s="53"/>
    </row>
    <row r="123" spans="1:25" ht="29">
      <c r="A123" s="137" t="s">
        <v>179</v>
      </c>
      <c r="B123" s="135">
        <v>3.81</v>
      </c>
      <c r="C123" s="99"/>
      <c r="D123" s="99"/>
      <c r="E123" s="99"/>
      <c r="F123" s="99"/>
    </row>
    <row r="124" spans="1:25"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</row>
    <row r="125" spans="1:25">
      <c r="A125" s="176" t="s">
        <v>188</v>
      </c>
      <c r="B125" s="176"/>
      <c r="C125" s="105"/>
      <c r="D125" s="106"/>
      <c r="E125" s="106"/>
      <c r="F125" s="106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44"/>
    </row>
    <row r="126" spans="1:25">
      <c r="C126" s="109"/>
      <c r="D126" s="106"/>
      <c r="E126" s="106"/>
      <c r="F126" s="106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44"/>
    </row>
    <row r="127" spans="1:25">
      <c r="A127" t="s">
        <v>181</v>
      </c>
      <c r="B127" s="135">
        <v>6.55</v>
      </c>
      <c r="J127" s="95"/>
      <c r="K127" s="95"/>
      <c r="L127" s="95"/>
      <c r="M127" s="95"/>
      <c r="N127" s="95"/>
      <c r="O127" s="95"/>
      <c r="P127" s="95"/>
      <c r="T127" s="44"/>
    </row>
    <row r="128" spans="1:25">
      <c r="A128" t="s">
        <v>182</v>
      </c>
      <c r="B128" s="135">
        <v>7.21</v>
      </c>
      <c r="C128" s="105"/>
      <c r="D128" s="110"/>
      <c r="E128" s="110"/>
      <c r="F128" s="110"/>
      <c r="T128" s="44"/>
    </row>
    <row r="129" spans="1:38">
      <c r="A129" t="s">
        <v>183</v>
      </c>
      <c r="B129" s="135">
        <v>7.27</v>
      </c>
      <c r="C129" s="105"/>
      <c r="D129" s="110"/>
      <c r="E129" s="110"/>
      <c r="F129" s="110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25"/>
    </row>
    <row r="130" spans="1:38">
      <c r="A130" t="s">
        <v>184</v>
      </c>
      <c r="B130" s="135">
        <v>6.37</v>
      </c>
      <c r="C130" s="105"/>
      <c r="D130" s="111"/>
      <c r="E130" s="111"/>
      <c r="F130" s="111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44"/>
    </row>
    <row r="131" spans="1:38">
      <c r="A131" t="s">
        <v>185</v>
      </c>
      <c r="B131" s="135">
        <v>6.76</v>
      </c>
      <c r="T131" s="44"/>
    </row>
    <row r="132" spans="1:38">
      <c r="A132" t="s">
        <v>186</v>
      </c>
      <c r="B132" s="135">
        <v>6.28</v>
      </c>
      <c r="C132" s="52"/>
      <c r="T132" s="44"/>
    </row>
    <row r="133" spans="1:38">
      <c r="A133" t="s">
        <v>187</v>
      </c>
      <c r="B133" s="135">
        <v>6.11</v>
      </c>
      <c r="C133" s="112"/>
      <c r="D133" s="113"/>
      <c r="E133" s="113"/>
      <c r="F133" s="114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6"/>
      <c r="T133" s="126"/>
    </row>
    <row r="134" spans="1:38">
      <c r="C134" s="115"/>
      <c r="D134" s="116"/>
      <c r="E134" s="117"/>
      <c r="F134" s="11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44"/>
    </row>
    <row r="135" spans="1:38">
      <c r="A135" s="176" t="s">
        <v>195</v>
      </c>
      <c r="B135" s="176"/>
      <c r="C135" s="115"/>
      <c r="D135" s="116"/>
      <c r="E135" s="117"/>
      <c r="F135" s="11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44"/>
    </row>
    <row r="136" spans="1:38">
      <c r="C136" s="115"/>
      <c r="D136" s="116"/>
      <c r="E136" s="117"/>
      <c r="F136" s="117"/>
    </row>
    <row r="137" spans="1:38">
      <c r="A137" t="s">
        <v>189</v>
      </c>
      <c r="B137" s="135">
        <v>3.17</v>
      </c>
      <c r="C137" s="95"/>
      <c r="D137" s="95"/>
      <c r="E137" s="95"/>
      <c r="F137" s="95"/>
      <c r="G137" s="95"/>
      <c r="H137" s="95"/>
      <c r="I137" s="95"/>
    </row>
    <row r="138" spans="1:38">
      <c r="A138" t="s">
        <v>190</v>
      </c>
      <c r="B138" s="135">
        <v>2.8</v>
      </c>
      <c r="C138" s="115"/>
      <c r="D138" s="116"/>
      <c r="E138" s="117"/>
      <c r="F138" s="117"/>
    </row>
    <row r="139" spans="1:38">
      <c r="A139" t="s">
        <v>191</v>
      </c>
      <c r="B139" s="135">
        <v>2.39</v>
      </c>
      <c r="C139" s="115"/>
      <c r="D139" s="116"/>
      <c r="E139" s="117"/>
      <c r="F139" s="117"/>
    </row>
    <row r="140" spans="1:38">
      <c r="A140" t="s">
        <v>192</v>
      </c>
      <c r="B140" s="135">
        <v>3.69</v>
      </c>
      <c r="C140" s="115"/>
      <c r="D140" s="116"/>
      <c r="E140" s="117"/>
      <c r="F140" s="117"/>
    </row>
    <row r="141" spans="1:38">
      <c r="A141" t="s">
        <v>193</v>
      </c>
      <c r="B141" s="135">
        <v>5.8</v>
      </c>
      <c r="C141" s="115"/>
      <c r="D141" s="116"/>
      <c r="E141" s="117"/>
      <c r="F141" s="117"/>
    </row>
    <row r="142" spans="1:38" ht="21" customHeight="1">
      <c r="A142" t="s">
        <v>194</v>
      </c>
      <c r="B142" s="135">
        <v>4.99</v>
      </c>
      <c r="C142" s="115"/>
      <c r="D142" s="116"/>
      <c r="E142" s="117"/>
      <c r="F142" s="117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</row>
    <row r="143" spans="1:38">
      <c r="C143" s="115"/>
      <c r="D143" s="116"/>
      <c r="E143" s="117"/>
      <c r="F143" s="117"/>
    </row>
    <row r="144" spans="1:38">
      <c r="C144" s="115"/>
      <c r="D144" s="116"/>
      <c r="E144" s="117"/>
      <c r="F144" s="117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X144" s="127"/>
      <c r="Y144" s="127"/>
      <c r="Z144" s="127"/>
      <c r="AA144" s="128"/>
      <c r="AB144" s="105"/>
      <c r="AC144" s="105"/>
    </row>
    <row r="145" spans="1:20">
      <c r="A145" s="176" t="s">
        <v>202</v>
      </c>
      <c r="B145" s="176"/>
      <c r="C145" s="115"/>
      <c r="D145" s="116"/>
      <c r="E145" s="117"/>
      <c r="F145" s="117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</row>
    <row r="146" spans="1:20">
      <c r="C146" s="95"/>
      <c r="D146" s="95"/>
      <c r="E146" s="95"/>
      <c r="F146" s="95"/>
      <c r="G146" s="95"/>
      <c r="H146" s="95"/>
      <c r="I146" s="110"/>
      <c r="J146" s="110"/>
      <c r="K146" s="110"/>
      <c r="L146" s="110"/>
      <c r="M146" s="110"/>
      <c r="N146" s="110"/>
      <c r="O146" s="110"/>
      <c r="P146" s="110"/>
      <c r="Q146" s="110"/>
      <c r="R146" s="107"/>
      <c r="S146" s="110"/>
      <c r="T146" s="44"/>
    </row>
    <row r="147" spans="1:20">
      <c r="A147" s="137" t="s">
        <v>196</v>
      </c>
      <c r="B147" s="135">
        <v>4.72</v>
      </c>
      <c r="C147" s="115"/>
      <c r="D147" s="116"/>
      <c r="E147" s="118"/>
      <c r="F147" s="117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07"/>
      <c r="S147" s="110"/>
      <c r="T147" s="44"/>
    </row>
    <row r="148" spans="1:20">
      <c r="A148" s="137" t="s">
        <v>197</v>
      </c>
      <c r="B148" s="135">
        <v>4.99</v>
      </c>
      <c r="C148" s="115"/>
      <c r="D148" s="116"/>
      <c r="E148" s="119"/>
      <c r="F148" s="117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07"/>
      <c r="S148" s="110"/>
      <c r="T148" s="44"/>
    </row>
    <row r="149" spans="1:20">
      <c r="A149" s="137" t="s">
        <v>198</v>
      </c>
      <c r="B149" s="135">
        <v>3.59</v>
      </c>
      <c r="C149" s="115"/>
      <c r="D149" s="116"/>
      <c r="E149" s="119"/>
      <c r="F149" s="117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</row>
    <row r="150" spans="1:20">
      <c r="A150" s="137" t="s">
        <v>199</v>
      </c>
      <c r="B150" s="135">
        <v>5.07</v>
      </c>
      <c r="C150" s="115"/>
      <c r="D150" s="116"/>
      <c r="E150" s="119"/>
      <c r="F150" s="117"/>
    </row>
    <row r="151" spans="1:20">
      <c r="A151" s="137" t="s">
        <v>200</v>
      </c>
      <c r="B151" s="135">
        <v>5.59</v>
      </c>
      <c r="C151" s="115"/>
      <c r="D151" s="116"/>
      <c r="E151" s="119"/>
      <c r="F151" s="117"/>
    </row>
    <row r="152" spans="1:20">
      <c r="A152" s="137" t="s">
        <v>201</v>
      </c>
      <c r="B152" s="135">
        <v>4.59</v>
      </c>
      <c r="C152" s="115"/>
      <c r="D152" s="116"/>
      <c r="E152" s="119"/>
      <c r="F152" s="117"/>
      <c r="G152" s="114"/>
      <c r="H152" s="113"/>
      <c r="I152" s="113"/>
      <c r="J152" s="113"/>
      <c r="K152" s="113"/>
      <c r="L152" s="113"/>
      <c r="M152" s="113"/>
      <c r="N152" s="113"/>
      <c r="O152" s="113"/>
    </row>
    <row r="153" spans="1:20">
      <c r="C153" s="115"/>
      <c r="D153" s="116"/>
      <c r="E153" s="119"/>
      <c r="F153" s="117"/>
      <c r="G153" s="117"/>
      <c r="H153" s="117"/>
      <c r="I153" s="120"/>
      <c r="J153" s="120"/>
      <c r="K153" s="120"/>
      <c r="L153" s="120"/>
      <c r="M153" s="120"/>
      <c r="N153" s="120"/>
      <c r="O153" s="117"/>
    </row>
    <row r="154" spans="1:20">
      <c r="C154" s="115"/>
      <c r="D154" s="116"/>
      <c r="E154" s="119"/>
      <c r="F154" s="117"/>
      <c r="G154" s="117"/>
      <c r="H154" s="117"/>
      <c r="I154" s="120"/>
      <c r="J154" s="120"/>
      <c r="K154" s="120"/>
      <c r="L154" s="120"/>
      <c r="M154" s="120"/>
      <c r="N154" s="120"/>
      <c r="O154" s="117"/>
    </row>
    <row r="155" spans="1:20">
      <c r="A155" s="176" t="s">
        <v>209</v>
      </c>
      <c r="B155" s="176"/>
      <c r="G155" s="117"/>
      <c r="H155" s="117"/>
      <c r="I155" s="120"/>
      <c r="J155" s="120"/>
      <c r="K155" s="120"/>
      <c r="L155" s="120"/>
      <c r="M155" s="120"/>
      <c r="N155" s="120"/>
      <c r="O155" s="117"/>
    </row>
    <row r="156" spans="1:20">
      <c r="G156" s="117"/>
      <c r="H156" s="117"/>
      <c r="I156" s="120"/>
      <c r="J156" s="120"/>
      <c r="K156" s="120"/>
      <c r="L156" s="120"/>
      <c r="M156" s="120"/>
      <c r="N156" s="120"/>
      <c r="O156" s="117"/>
    </row>
    <row r="157" spans="1:20">
      <c r="A157" t="s">
        <v>203</v>
      </c>
      <c r="B157" s="135">
        <v>5.55</v>
      </c>
      <c r="C157" s="52"/>
      <c r="G157" s="117"/>
      <c r="H157" s="117"/>
      <c r="I157" s="120"/>
      <c r="J157" s="120"/>
      <c r="K157" s="120"/>
      <c r="L157" s="120"/>
      <c r="M157" s="120"/>
      <c r="N157" s="120"/>
      <c r="O157" s="120"/>
    </row>
    <row r="158" spans="1:20">
      <c r="A158" t="s">
        <v>204</v>
      </c>
      <c r="B158" s="135">
        <v>3.87</v>
      </c>
      <c r="C158" s="175"/>
      <c r="D158" s="114"/>
      <c r="E158" s="114"/>
      <c r="F158" s="121"/>
      <c r="G158" s="117"/>
      <c r="H158" s="117"/>
      <c r="I158" s="120"/>
      <c r="J158" s="120"/>
      <c r="K158" s="120"/>
      <c r="L158" s="120"/>
      <c r="M158" s="120"/>
      <c r="N158" s="120"/>
      <c r="O158" s="117"/>
    </row>
    <row r="159" spans="1:20">
      <c r="A159" t="s">
        <v>205</v>
      </c>
      <c r="B159" s="135">
        <v>4.8499999999999996</v>
      </c>
      <c r="C159" s="175"/>
      <c r="D159" s="114"/>
      <c r="E159" s="114"/>
      <c r="F159" s="114"/>
      <c r="G159" s="117"/>
      <c r="H159" s="117"/>
      <c r="I159" s="120"/>
      <c r="J159" s="120"/>
      <c r="K159" s="120"/>
      <c r="L159" s="120"/>
      <c r="M159" s="120"/>
      <c r="N159" s="120"/>
      <c r="O159" s="120"/>
    </row>
    <row r="160" spans="1:20">
      <c r="A160" t="s">
        <v>206</v>
      </c>
      <c r="B160" s="135">
        <v>5.44</v>
      </c>
      <c r="C160" s="115"/>
      <c r="D160" s="122"/>
      <c r="E160" s="117"/>
      <c r="F160" s="117"/>
      <c r="G160" s="117"/>
      <c r="H160" s="117"/>
      <c r="I160" s="120"/>
      <c r="J160" s="120"/>
      <c r="K160" s="120"/>
      <c r="L160" s="120"/>
      <c r="M160" s="120"/>
      <c r="N160" s="120"/>
      <c r="O160" s="117"/>
    </row>
    <row r="161" spans="1:15">
      <c r="A161" t="s">
        <v>207</v>
      </c>
      <c r="B161" s="135">
        <v>5.91</v>
      </c>
      <c r="C161" s="115"/>
      <c r="D161" s="122"/>
      <c r="E161" s="117"/>
      <c r="F161" s="117"/>
      <c r="G161" s="117"/>
      <c r="H161" s="117"/>
      <c r="I161" s="120"/>
      <c r="J161" s="120"/>
      <c r="K161" s="120"/>
      <c r="L161" s="120"/>
      <c r="M161" s="120"/>
      <c r="N161" s="120"/>
      <c r="O161" s="117"/>
    </row>
    <row r="162" spans="1:15">
      <c r="A162" t="s">
        <v>208</v>
      </c>
      <c r="B162" s="135">
        <v>6.13</v>
      </c>
      <c r="C162" s="115"/>
      <c r="D162" s="122"/>
      <c r="E162" s="117"/>
      <c r="F162" s="117"/>
      <c r="G162" s="117"/>
      <c r="H162" s="117"/>
      <c r="I162" s="120"/>
      <c r="J162" s="120"/>
      <c r="K162" s="120"/>
      <c r="L162" s="120"/>
      <c r="M162" s="120"/>
      <c r="N162" s="120"/>
      <c r="O162" s="120"/>
    </row>
    <row r="163" spans="1:15">
      <c r="C163" s="115"/>
      <c r="D163" s="122"/>
      <c r="E163" s="117"/>
      <c r="F163" s="117"/>
      <c r="G163" s="117"/>
      <c r="H163" s="117"/>
      <c r="I163" s="120"/>
      <c r="J163" s="120"/>
      <c r="K163" s="120"/>
      <c r="L163" s="120"/>
      <c r="M163" s="120"/>
      <c r="N163" s="120"/>
      <c r="O163" s="117"/>
    </row>
    <row r="164" spans="1:15">
      <c r="A164" s="176" t="s">
        <v>411</v>
      </c>
      <c r="B164" s="176"/>
      <c r="C164" s="115"/>
      <c r="D164" s="122"/>
      <c r="E164" s="95"/>
      <c r="F164" s="95"/>
      <c r="G164" s="95"/>
      <c r="H164" s="95"/>
      <c r="I164" s="95"/>
      <c r="J164" s="95"/>
      <c r="K164" s="120"/>
      <c r="L164" s="120"/>
      <c r="M164" s="120"/>
      <c r="N164" s="120"/>
      <c r="O164" s="117"/>
    </row>
    <row r="165" spans="1:15">
      <c r="C165" s="115"/>
      <c r="D165" s="122"/>
      <c r="E165" s="117"/>
      <c r="F165" s="117"/>
      <c r="G165" s="95"/>
      <c r="H165" s="95"/>
      <c r="I165" s="95"/>
      <c r="J165" s="95"/>
      <c r="K165" s="95"/>
      <c r="L165" s="95"/>
      <c r="M165" s="120"/>
      <c r="N165" s="120"/>
      <c r="O165" s="120"/>
    </row>
    <row r="166" spans="1:15">
      <c r="A166" t="s">
        <v>210</v>
      </c>
      <c r="B166" s="135">
        <v>4.8099999999999996</v>
      </c>
      <c r="C166" s="95"/>
      <c r="D166" s="95"/>
      <c r="E166" s="95"/>
      <c r="F166" s="95"/>
      <c r="G166" s="95"/>
      <c r="H166" s="117"/>
      <c r="I166" s="120"/>
      <c r="J166" s="120"/>
      <c r="K166" s="120"/>
      <c r="L166" s="120"/>
      <c r="M166" s="120"/>
      <c r="N166" s="120"/>
      <c r="O166" s="117"/>
    </row>
    <row r="167" spans="1:15">
      <c r="A167" t="s">
        <v>211</v>
      </c>
      <c r="B167" s="135">
        <v>4.78</v>
      </c>
      <c r="C167" s="115"/>
      <c r="D167" s="122"/>
      <c r="E167" s="117"/>
      <c r="F167" s="117"/>
      <c r="G167" s="117"/>
      <c r="H167" s="117"/>
      <c r="I167" s="120"/>
      <c r="J167" s="120"/>
      <c r="K167" s="120"/>
      <c r="L167" s="120"/>
      <c r="M167" s="120"/>
      <c r="N167" s="120"/>
      <c r="O167" s="117"/>
    </row>
    <row r="168" spans="1:15">
      <c r="A168" t="s">
        <v>212</v>
      </c>
      <c r="B168" s="135">
        <v>4.63</v>
      </c>
      <c r="C168" s="115"/>
      <c r="D168" s="122"/>
      <c r="E168" s="117"/>
      <c r="F168" s="117"/>
      <c r="G168" s="117"/>
      <c r="H168" s="117"/>
      <c r="I168" s="120"/>
      <c r="J168" s="120"/>
      <c r="K168" s="120"/>
      <c r="L168" s="120"/>
      <c r="M168" s="120"/>
      <c r="N168" s="120"/>
      <c r="O168" s="117"/>
    </row>
    <row r="169" spans="1:15">
      <c r="A169" t="s">
        <v>213</v>
      </c>
      <c r="B169" s="135">
        <v>3.96</v>
      </c>
      <c r="C169" s="115"/>
      <c r="D169" s="122"/>
      <c r="E169" s="117"/>
      <c r="F169" s="117"/>
      <c r="G169" s="117"/>
      <c r="H169" s="117"/>
      <c r="I169" s="120"/>
      <c r="J169" s="120"/>
      <c r="K169" s="120"/>
      <c r="L169" s="120"/>
      <c r="M169" s="120"/>
      <c r="N169" s="120"/>
      <c r="O169" s="120"/>
    </row>
    <row r="170" spans="1:15">
      <c r="A170" t="s">
        <v>214</v>
      </c>
      <c r="B170" s="135">
        <v>4.1900000000000004</v>
      </c>
      <c r="C170" s="115"/>
      <c r="D170" s="122"/>
      <c r="E170" s="117"/>
      <c r="F170" s="117"/>
      <c r="G170" s="117"/>
      <c r="H170" s="117"/>
      <c r="I170" s="120"/>
      <c r="J170" s="120"/>
      <c r="K170" s="120"/>
      <c r="L170" s="120"/>
      <c r="M170" s="120"/>
      <c r="N170" s="120"/>
      <c r="O170" s="117"/>
    </row>
    <row r="171" spans="1:15">
      <c r="A171" t="s">
        <v>215</v>
      </c>
      <c r="B171" s="135">
        <v>4.5199999999999996</v>
      </c>
      <c r="C171" s="115"/>
      <c r="D171" s="122"/>
      <c r="E171" s="117"/>
      <c r="F171" s="117"/>
      <c r="G171" s="117"/>
      <c r="H171" s="117"/>
      <c r="I171" s="120"/>
      <c r="J171" s="120"/>
      <c r="K171" s="120"/>
      <c r="L171" s="120"/>
      <c r="M171" s="120"/>
      <c r="N171" s="120"/>
      <c r="O171" s="117"/>
    </row>
    <row r="172" spans="1:15">
      <c r="C172" s="115"/>
      <c r="D172" s="122"/>
      <c r="E172" s="117"/>
      <c r="F172" s="117"/>
      <c r="G172" s="117"/>
      <c r="H172" s="117"/>
      <c r="I172" s="120"/>
      <c r="J172" s="120"/>
      <c r="K172" s="120"/>
      <c r="L172" s="120"/>
      <c r="M172" s="120"/>
      <c r="N172" s="120"/>
      <c r="O172" s="117"/>
    </row>
    <row r="173" spans="1:15">
      <c r="A173" s="176" t="s">
        <v>223</v>
      </c>
      <c r="B173" s="176"/>
      <c r="C173" s="115"/>
      <c r="D173" s="122"/>
      <c r="E173" s="117"/>
      <c r="F173" s="117"/>
    </row>
    <row r="174" spans="1:15">
      <c r="C174" s="115"/>
      <c r="D174" s="122"/>
      <c r="E174" s="117"/>
      <c r="F174" s="117"/>
    </row>
    <row r="175" spans="1:15">
      <c r="A175" t="s">
        <v>216</v>
      </c>
      <c r="B175" s="135">
        <v>3.38</v>
      </c>
      <c r="C175" s="115"/>
      <c r="D175" s="122"/>
      <c r="E175" s="117"/>
      <c r="F175" s="117"/>
      <c r="I175" s="95"/>
      <c r="J175" s="95"/>
      <c r="K175" s="95"/>
      <c r="L175" s="95"/>
      <c r="M175" s="95"/>
      <c r="N175" s="95"/>
    </row>
    <row r="176" spans="1:15">
      <c r="A176" t="s">
        <v>217</v>
      </c>
      <c r="B176" s="135">
        <v>7.36</v>
      </c>
      <c r="C176" s="115"/>
      <c r="D176" s="122"/>
      <c r="E176" s="117"/>
      <c r="F176" s="117"/>
      <c r="G176" s="138"/>
      <c r="H176" s="139"/>
      <c r="I176" s="138"/>
      <c r="J176" s="138"/>
      <c r="K176" s="138"/>
      <c r="L176" s="138"/>
      <c r="M176" s="138"/>
      <c r="N176" s="139"/>
      <c r="O176" s="139"/>
    </row>
    <row r="177" spans="1:15">
      <c r="A177" t="s">
        <v>218</v>
      </c>
      <c r="B177" s="135">
        <v>7.65</v>
      </c>
      <c r="C177" s="115"/>
      <c r="D177" s="122"/>
      <c r="E177" s="117"/>
      <c r="F177" s="117"/>
      <c r="G177" s="138"/>
      <c r="H177" s="139"/>
      <c r="I177" s="138"/>
      <c r="J177" s="138"/>
      <c r="K177" s="138"/>
      <c r="L177" s="138"/>
      <c r="M177" s="138"/>
      <c r="N177" s="139"/>
      <c r="O177" s="139"/>
    </row>
    <row r="178" spans="1:15">
      <c r="A178" t="s">
        <v>219</v>
      </c>
      <c r="B178" s="135">
        <v>6.82</v>
      </c>
      <c r="C178" s="115"/>
      <c r="D178" s="122"/>
      <c r="E178" s="117"/>
      <c r="F178" s="117"/>
      <c r="G178" s="120"/>
      <c r="H178" s="117"/>
      <c r="I178" s="117"/>
      <c r="J178" s="120"/>
      <c r="K178" s="120"/>
      <c r="L178" s="120"/>
      <c r="M178" s="120"/>
      <c r="N178" s="120"/>
      <c r="O178" s="120"/>
    </row>
    <row r="179" spans="1:15">
      <c r="A179" t="s">
        <v>220</v>
      </c>
      <c r="B179" s="135">
        <v>7.08</v>
      </c>
      <c r="G179" s="120"/>
      <c r="H179" s="117"/>
      <c r="I179" s="117"/>
      <c r="J179" s="120"/>
      <c r="K179" s="120"/>
      <c r="L179" s="120"/>
      <c r="M179" s="120"/>
      <c r="N179" s="120"/>
      <c r="O179" s="120"/>
    </row>
    <row r="180" spans="1:15">
      <c r="A180" t="s">
        <v>221</v>
      </c>
      <c r="B180" s="135">
        <v>5.7</v>
      </c>
      <c r="G180" s="120"/>
      <c r="H180" s="117"/>
      <c r="I180" s="117"/>
      <c r="J180" s="120"/>
      <c r="K180" s="120"/>
      <c r="L180" s="120"/>
      <c r="M180" s="120"/>
      <c r="N180" s="120"/>
      <c r="O180" s="120"/>
    </row>
    <row r="181" spans="1:15">
      <c r="A181" t="s">
        <v>222</v>
      </c>
      <c r="B181" s="135">
        <v>4.59</v>
      </c>
      <c r="G181" s="120"/>
      <c r="H181" s="117"/>
      <c r="I181" s="117"/>
      <c r="J181" s="120"/>
      <c r="K181" s="120"/>
      <c r="L181" s="120"/>
      <c r="M181" s="120"/>
      <c r="N181" s="120"/>
      <c r="O181" s="120"/>
    </row>
    <row r="182" spans="1:15">
      <c r="G182" s="120"/>
      <c r="H182" s="117"/>
      <c r="I182" s="117"/>
      <c r="J182" s="120"/>
      <c r="K182" s="120"/>
      <c r="L182" s="120"/>
      <c r="M182" s="120"/>
      <c r="N182" s="120"/>
      <c r="O182" s="120"/>
    </row>
    <row r="183" spans="1:15">
      <c r="G183" s="120"/>
      <c r="H183" s="117"/>
      <c r="I183" s="95"/>
      <c r="J183" s="95"/>
      <c r="K183" s="95"/>
      <c r="L183" s="95"/>
      <c r="M183" s="95"/>
      <c r="N183" s="120"/>
      <c r="O183" s="120"/>
    </row>
    <row r="184" spans="1:15">
      <c r="A184" s="176" t="s">
        <v>229</v>
      </c>
      <c r="B184" s="176"/>
      <c r="G184" s="120"/>
      <c r="H184" s="117"/>
      <c r="I184" s="117"/>
      <c r="J184" s="120"/>
      <c r="K184" s="120"/>
      <c r="L184" s="120"/>
      <c r="M184" s="120"/>
      <c r="N184" s="120"/>
      <c r="O184" s="120"/>
    </row>
    <row r="185" spans="1:15">
      <c r="B185" s="44"/>
      <c r="G185" s="120"/>
      <c r="H185" s="117"/>
      <c r="I185" s="117"/>
      <c r="J185" s="120"/>
      <c r="K185" s="120"/>
      <c r="L185" s="120"/>
      <c r="M185" s="120"/>
      <c r="N185" s="120"/>
      <c r="O185" s="120"/>
    </row>
    <row r="186" spans="1:15">
      <c r="A186" t="s">
        <v>224</v>
      </c>
      <c r="B186" s="135">
        <v>4.3899999999999997</v>
      </c>
      <c r="G186" s="120"/>
      <c r="H186" s="117"/>
      <c r="I186" s="117"/>
      <c r="J186" s="120"/>
      <c r="K186" s="120"/>
      <c r="L186" s="120"/>
      <c r="M186" s="120"/>
      <c r="N186" s="120"/>
      <c r="O186" s="120"/>
    </row>
    <row r="187" spans="1:15">
      <c r="A187" t="s">
        <v>225</v>
      </c>
      <c r="B187" s="135">
        <v>3.92</v>
      </c>
      <c r="G187" s="120"/>
      <c r="H187" s="117"/>
      <c r="I187" s="117"/>
      <c r="J187" s="120"/>
      <c r="K187" s="120"/>
      <c r="L187" s="120"/>
      <c r="M187" s="120"/>
      <c r="N187" s="120"/>
      <c r="O187" s="120"/>
    </row>
    <row r="188" spans="1:15">
      <c r="A188" t="s">
        <v>226</v>
      </c>
      <c r="B188" s="135">
        <v>3.07</v>
      </c>
      <c r="G188" s="120"/>
      <c r="H188" s="117"/>
      <c r="I188" s="117"/>
      <c r="J188" s="120"/>
      <c r="K188" s="120"/>
      <c r="L188" s="120"/>
      <c r="M188" s="120"/>
      <c r="N188" s="120"/>
      <c r="O188" s="120"/>
    </row>
    <row r="189" spans="1:15">
      <c r="A189" t="s">
        <v>227</v>
      </c>
      <c r="B189" s="135">
        <v>3.74</v>
      </c>
      <c r="G189" s="120"/>
      <c r="H189" s="117"/>
      <c r="I189" s="117"/>
      <c r="J189" s="120"/>
      <c r="K189" s="120"/>
      <c r="L189" s="120"/>
      <c r="M189" s="120"/>
      <c r="N189" s="120"/>
      <c r="O189" s="120"/>
    </row>
    <row r="190" spans="1:15">
      <c r="A190" t="s">
        <v>228</v>
      </c>
      <c r="B190" s="135">
        <v>4.07</v>
      </c>
      <c r="G190" s="120"/>
      <c r="H190" s="117"/>
      <c r="I190" s="117"/>
      <c r="J190" s="120"/>
      <c r="K190" s="120"/>
      <c r="L190" s="120"/>
      <c r="M190" s="120"/>
      <c r="N190" s="120"/>
      <c r="O190" s="120"/>
    </row>
    <row r="191" spans="1:15">
      <c r="G191" s="120"/>
      <c r="H191" s="117"/>
      <c r="I191" s="117"/>
      <c r="J191" s="120"/>
      <c r="K191" s="120"/>
      <c r="L191" s="120"/>
      <c r="M191" s="120"/>
      <c r="N191" s="120"/>
      <c r="O191" s="120"/>
    </row>
    <row r="192" spans="1:15">
      <c r="G192" s="120"/>
      <c r="H192" s="117"/>
      <c r="I192" s="117"/>
      <c r="J192" s="120"/>
      <c r="K192" s="120"/>
      <c r="L192" s="120"/>
      <c r="M192" s="120"/>
      <c r="N192" s="120"/>
      <c r="O192" s="120"/>
    </row>
    <row r="193" spans="7:15">
      <c r="G193" s="120"/>
      <c r="H193" s="117"/>
      <c r="I193" s="117"/>
      <c r="J193" s="120"/>
      <c r="K193" s="120"/>
      <c r="L193" s="120"/>
      <c r="M193" s="120"/>
      <c r="N193" s="120"/>
      <c r="O193" s="120"/>
    </row>
    <row r="194" spans="7:15">
      <c r="G194" s="120"/>
      <c r="H194" s="117"/>
      <c r="I194" s="117"/>
      <c r="J194" s="120"/>
      <c r="K194" s="120"/>
      <c r="L194" s="120"/>
      <c r="M194" s="120"/>
      <c r="N194" s="120"/>
      <c r="O194" s="120"/>
    </row>
    <row r="195" spans="7:15">
      <c r="G195" s="120"/>
      <c r="H195" s="117"/>
      <c r="I195" s="117"/>
      <c r="J195" s="120"/>
      <c r="K195" s="120"/>
      <c r="L195" s="120"/>
      <c r="M195" s="120"/>
      <c r="N195" s="120"/>
      <c r="O195" s="120"/>
    </row>
    <row r="196" spans="7:15">
      <c r="G196" s="120"/>
      <c r="H196" s="117"/>
      <c r="I196" s="117"/>
      <c r="J196" s="120"/>
      <c r="K196" s="120"/>
      <c r="L196" s="120"/>
      <c r="M196" s="120"/>
      <c r="N196" s="120"/>
      <c r="O196" s="120"/>
    </row>
  </sheetData>
  <sortState xmlns:xlrd2="http://schemas.microsoft.com/office/spreadsheetml/2017/richdata2" ref="H5:M17">
    <sortCondition descending="1" ref="I5:I17"/>
  </sortState>
  <mergeCells count="13">
    <mergeCell ref="A164:B164"/>
    <mergeCell ref="A173:B173"/>
    <mergeCell ref="A184:B184"/>
    <mergeCell ref="A71:B71"/>
    <mergeCell ref="A83:B83"/>
    <mergeCell ref="A99:B99"/>
    <mergeCell ref="A1:F2"/>
    <mergeCell ref="C158:C159"/>
    <mergeCell ref="A114:B114"/>
    <mergeCell ref="A125:B125"/>
    <mergeCell ref="A135:B135"/>
    <mergeCell ref="A145:B145"/>
    <mergeCell ref="A155:B155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1C1C-4F88-F146-A78E-00FEC96C7130}">
  <dimension ref="A1:AG138"/>
  <sheetViews>
    <sheetView topLeftCell="A72" zoomScale="25" workbookViewId="0">
      <selection activeCell="J124" sqref="J124"/>
    </sheetView>
  </sheetViews>
  <sheetFormatPr baseColWidth="10" defaultColWidth="11" defaultRowHeight="16"/>
  <cols>
    <col min="1" max="1" width="43" customWidth="1"/>
  </cols>
  <sheetData>
    <row r="1" spans="1:20">
      <c r="A1" s="174" t="s">
        <v>53</v>
      </c>
      <c r="B1" s="174"/>
      <c r="C1" s="174"/>
      <c r="D1" s="174"/>
      <c r="E1" s="174"/>
      <c r="F1" s="174"/>
      <c r="G1" s="174"/>
    </row>
    <row r="2" spans="1:20">
      <c r="A2" s="174"/>
      <c r="B2" s="174"/>
      <c r="C2" s="174"/>
      <c r="D2" s="174"/>
      <c r="E2" s="174"/>
      <c r="F2" s="174"/>
      <c r="G2" s="174"/>
    </row>
    <row r="5" spans="1:20">
      <c r="A5" s="179" t="s">
        <v>12</v>
      </c>
      <c r="B5" s="179"/>
      <c r="C5" s="179"/>
      <c r="D5" s="179"/>
      <c r="E5" s="179"/>
      <c r="F5" s="179"/>
      <c r="L5" s="174" t="s">
        <v>54</v>
      </c>
      <c r="M5" s="174"/>
      <c r="N5" s="174"/>
      <c r="O5" s="174"/>
      <c r="P5" s="174"/>
      <c r="Q5" s="174"/>
      <c r="R5" s="174"/>
    </row>
    <row r="6" spans="1:20">
      <c r="L6" s="174"/>
      <c r="M6" s="174"/>
      <c r="N6" s="174"/>
      <c r="O6" s="174"/>
      <c r="P6" s="174"/>
      <c r="Q6" s="174"/>
      <c r="R6" s="174"/>
    </row>
    <row r="7" spans="1:20">
      <c r="A7" t="s">
        <v>13</v>
      </c>
      <c r="B7" s="7">
        <v>9.9000000000000005E-2</v>
      </c>
      <c r="L7" s="183" t="s">
        <v>103</v>
      </c>
      <c r="M7" s="183"/>
      <c r="N7" s="183"/>
      <c r="O7" s="183"/>
      <c r="P7" s="183"/>
      <c r="Q7" s="183"/>
      <c r="R7" s="183"/>
    </row>
    <row r="8" spans="1:20" ht="51">
      <c r="A8" t="s">
        <v>14</v>
      </c>
      <c r="B8" s="7">
        <v>0.85659021641908795</v>
      </c>
      <c r="L8" s="57" t="s">
        <v>93</v>
      </c>
      <c r="M8" s="58" t="s">
        <v>94</v>
      </c>
      <c r="N8" s="44">
        <v>10.199999999999999</v>
      </c>
    </row>
    <row r="9" spans="1:20" ht="51">
      <c r="B9" s="7"/>
      <c r="L9" s="58" t="s">
        <v>95</v>
      </c>
      <c r="M9" s="58" t="s">
        <v>95</v>
      </c>
      <c r="N9" s="44">
        <v>5.6</v>
      </c>
      <c r="O9" s="59" t="s">
        <v>96</v>
      </c>
      <c r="P9">
        <v>2.9</v>
      </c>
      <c r="Q9" s="59">
        <v>2.6</v>
      </c>
      <c r="T9" s="44"/>
    </row>
    <row r="10" spans="1:20">
      <c r="A10" s="180" t="s">
        <v>15</v>
      </c>
      <c r="B10" s="181"/>
      <c r="C10" s="181"/>
      <c r="D10" s="181"/>
      <c r="E10" s="181"/>
      <c r="F10" s="182"/>
      <c r="L10" s="58" t="s">
        <v>99</v>
      </c>
      <c r="M10" s="58" t="s">
        <v>100</v>
      </c>
      <c r="N10" s="44">
        <v>9.8000000000000007</v>
      </c>
    </row>
    <row r="11" spans="1:20">
      <c r="L11" s="58" t="s">
        <v>101</v>
      </c>
      <c r="M11" s="58" t="s">
        <v>102</v>
      </c>
      <c r="N11" s="44">
        <v>2.7</v>
      </c>
      <c r="P11" t="s">
        <v>234</v>
      </c>
      <c r="Q11" s="7">
        <v>9.5000000000000001E-2</v>
      </c>
    </row>
    <row r="12" spans="1:20">
      <c r="A12" t="s">
        <v>14</v>
      </c>
      <c r="B12" s="7">
        <v>0.93899999999999995</v>
      </c>
    </row>
    <row r="13" spans="1:20">
      <c r="A13" t="s">
        <v>16</v>
      </c>
      <c r="B13" s="7">
        <v>6.0999999999999999E-2</v>
      </c>
    </row>
    <row r="15" spans="1:20">
      <c r="A15" s="180" t="s">
        <v>17</v>
      </c>
      <c r="B15" s="181"/>
      <c r="C15" s="181"/>
      <c r="D15" s="181"/>
      <c r="E15" s="181"/>
      <c r="F15" s="182"/>
    </row>
    <row r="16" spans="1:20">
      <c r="L16" s="174" t="s">
        <v>55</v>
      </c>
      <c r="M16" s="174"/>
      <c r="N16" s="174"/>
      <c r="O16" s="174"/>
      <c r="P16" s="174"/>
      <c r="Q16" s="174"/>
      <c r="R16" s="174"/>
    </row>
    <row r="17" spans="1:33">
      <c r="A17" t="s">
        <v>111</v>
      </c>
      <c r="B17" s="7">
        <v>3.1E-2</v>
      </c>
      <c r="L17" s="174"/>
      <c r="M17" s="174"/>
      <c r="N17" s="174"/>
      <c r="O17" s="174"/>
      <c r="P17" s="174"/>
      <c r="Q17" s="174"/>
      <c r="R17" s="174"/>
    </row>
    <row r="18" spans="1:33">
      <c r="A18" t="s">
        <v>110</v>
      </c>
      <c r="B18" s="7">
        <v>0.03</v>
      </c>
      <c r="L18" s="183" t="s">
        <v>103</v>
      </c>
      <c r="M18" s="183"/>
      <c r="N18" s="183"/>
      <c r="O18" s="183"/>
      <c r="P18" s="183"/>
      <c r="Q18" s="183"/>
      <c r="R18" s="183"/>
    </row>
    <row r="19" spans="1:33" ht="51">
      <c r="L19" s="57" t="s">
        <v>93</v>
      </c>
      <c r="M19" s="58" t="s">
        <v>94</v>
      </c>
      <c r="N19" s="44">
        <v>9.5</v>
      </c>
    </row>
    <row r="20" spans="1:33" ht="51">
      <c r="A20" s="180" t="s">
        <v>18</v>
      </c>
      <c r="B20" s="181"/>
      <c r="C20" s="181"/>
      <c r="D20" s="181"/>
      <c r="E20" s="181"/>
      <c r="F20" s="182"/>
      <c r="L20" s="58" t="s">
        <v>95</v>
      </c>
      <c r="M20" s="58" t="s">
        <v>95</v>
      </c>
      <c r="N20" s="44">
        <v>6.9</v>
      </c>
      <c r="O20" s="59" t="s">
        <v>96</v>
      </c>
      <c r="P20">
        <v>3.4</v>
      </c>
      <c r="Q20" s="59" t="s">
        <v>98</v>
      </c>
      <c r="R20">
        <v>3.5</v>
      </c>
    </row>
    <row r="21" spans="1:33">
      <c r="L21" s="58" t="s">
        <v>99</v>
      </c>
      <c r="M21" s="58" t="s">
        <v>100</v>
      </c>
      <c r="N21" s="44">
        <v>7.1</v>
      </c>
    </row>
    <row r="22" spans="1:33">
      <c r="A22" t="s">
        <v>14</v>
      </c>
      <c r="B22" s="7">
        <v>0.91179353240584105</v>
      </c>
      <c r="L22" s="58" t="s">
        <v>101</v>
      </c>
      <c r="M22" s="58" t="s">
        <v>102</v>
      </c>
      <c r="N22" s="44">
        <v>2.4</v>
      </c>
      <c r="P22" t="s">
        <v>234</v>
      </c>
      <c r="Q22" s="7">
        <v>8.3000000000000004E-2</v>
      </c>
    </row>
    <row r="23" spans="1:33">
      <c r="A23" t="s">
        <v>16</v>
      </c>
      <c r="B23" s="7">
        <v>8.8206467594159801E-2</v>
      </c>
    </row>
    <row r="25" spans="1:33" ht="49" customHeight="1">
      <c r="A25" s="180" t="s">
        <v>19</v>
      </c>
      <c r="B25" s="181"/>
      <c r="C25" s="181"/>
      <c r="D25" s="181"/>
      <c r="E25" s="181"/>
      <c r="F25" s="182"/>
    </row>
    <row r="27" spans="1:33">
      <c r="A27" t="s">
        <v>14</v>
      </c>
      <c r="B27" s="7">
        <v>0.96560959970399396</v>
      </c>
    </row>
    <row r="28" spans="1:33">
      <c r="A28" t="s">
        <v>16</v>
      </c>
      <c r="B28" s="7">
        <v>2.5740724121466801E-2</v>
      </c>
      <c r="L28" s="54" t="s">
        <v>92</v>
      </c>
      <c r="O28" s="76">
        <v>2007</v>
      </c>
      <c r="P28" s="76">
        <v>2008</v>
      </c>
      <c r="Q28" s="76">
        <v>2009</v>
      </c>
      <c r="R28" s="76">
        <v>2010</v>
      </c>
      <c r="S28" s="76">
        <v>2011</v>
      </c>
      <c r="T28" s="76">
        <v>2012</v>
      </c>
      <c r="U28" s="76">
        <v>2013</v>
      </c>
      <c r="V28" s="76">
        <v>2014</v>
      </c>
      <c r="W28" s="77">
        <v>2015</v>
      </c>
      <c r="X28" s="77">
        <v>2016</v>
      </c>
      <c r="Y28" s="77">
        <v>2017</v>
      </c>
      <c r="Z28" s="77">
        <v>2018</v>
      </c>
      <c r="AA28" s="78">
        <v>2019</v>
      </c>
      <c r="AB28" s="78">
        <v>2020</v>
      </c>
      <c r="AC28" s="78">
        <v>2021</v>
      </c>
      <c r="AD28" s="78">
        <v>2022</v>
      </c>
      <c r="AE28" s="78">
        <v>2023</v>
      </c>
      <c r="AF28" s="78">
        <v>2024</v>
      </c>
      <c r="AG28" s="133">
        <v>2025</v>
      </c>
    </row>
    <row r="29" spans="1:33">
      <c r="L29" s="54" t="s">
        <v>95</v>
      </c>
      <c r="N29" s="79" t="s">
        <v>51</v>
      </c>
      <c r="O29" s="86">
        <v>7.9000000000000001E-2</v>
      </c>
      <c r="P29" s="86">
        <v>7.0999999999999994E-2</v>
      </c>
      <c r="Q29" s="87">
        <v>2.7E-2</v>
      </c>
      <c r="R29" s="68">
        <v>2.9000000000000001E-2</v>
      </c>
      <c r="S29" s="68">
        <v>8.5000000000000006E-2</v>
      </c>
      <c r="T29" s="68">
        <v>5.8999999999999997E-2</v>
      </c>
      <c r="U29" s="68">
        <v>5.1999999999999998E-2</v>
      </c>
      <c r="V29" s="88">
        <v>7.5800000000000006E-2</v>
      </c>
      <c r="W29" s="68">
        <v>0.04</v>
      </c>
      <c r="X29" s="68">
        <v>6.2E-2</v>
      </c>
      <c r="Y29" s="68">
        <v>6.0999999999999999E-2</v>
      </c>
      <c r="Z29" s="68">
        <v>6.5000000000000002E-2</v>
      </c>
      <c r="AA29" s="82">
        <v>5.1999999999999998E-2</v>
      </c>
      <c r="AB29" s="71">
        <v>3.7999999999999999E-2</v>
      </c>
      <c r="AC29" s="71">
        <v>4.1000000000000002E-2</v>
      </c>
      <c r="AD29" s="71">
        <v>6.8000000000000005E-2</v>
      </c>
      <c r="AE29" s="71">
        <v>6.0999999999999999E-2</v>
      </c>
      <c r="AF29" s="71">
        <v>8.7999999999999995E-2</v>
      </c>
      <c r="AG29" s="144">
        <v>6.9000000000000006E-2</v>
      </c>
    </row>
    <row r="30" spans="1:33">
      <c r="A30" s="180" t="s">
        <v>20</v>
      </c>
      <c r="B30" s="181"/>
      <c r="C30" s="181"/>
      <c r="D30" s="181"/>
      <c r="E30" s="181"/>
      <c r="F30" s="182"/>
      <c r="L30" s="54" t="s">
        <v>118</v>
      </c>
      <c r="N30" s="79" t="s">
        <v>52</v>
      </c>
      <c r="O30" s="86">
        <v>8.2000000000000003E-2</v>
      </c>
      <c r="P30" s="86">
        <v>7.0999999999999994E-2</v>
      </c>
      <c r="Q30" s="87">
        <v>3.5000000000000003E-2</v>
      </c>
      <c r="R30" s="68">
        <v>2.4E-2</v>
      </c>
      <c r="S30" s="68">
        <v>4.5999999999999999E-2</v>
      </c>
      <c r="T30" s="68">
        <v>4.5999999999999999E-2</v>
      </c>
      <c r="U30" s="68">
        <v>6.0999999999999999E-2</v>
      </c>
      <c r="V30" s="88">
        <v>7.3099999999999998E-2</v>
      </c>
      <c r="W30" s="68">
        <v>5.0999999999999997E-2</v>
      </c>
      <c r="X30" s="68">
        <v>4.8000000000000001E-2</v>
      </c>
      <c r="Y30" s="68">
        <v>6.6000000000000003E-2</v>
      </c>
      <c r="Z30" s="68">
        <v>0.04</v>
      </c>
      <c r="AA30" s="82">
        <v>4.7E-2</v>
      </c>
      <c r="AB30" s="71">
        <v>4.3999999999999997E-2</v>
      </c>
      <c r="AC30" s="71">
        <v>5.1999999999999998E-2</v>
      </c>
      <c r="AD30" s="71">
        <v>3.9E-2</v>
      </c>
      <c r="AE30" s="71">
        <v>4.8000000000000001E-2</v>
      </c>
      <c r="AF30" s="71">
        <v>3.9E-2</v>
      </c>
      <c r="AG30" s="144">
        <v>5.5999999999999994E-2</v>
      </c>
    </row>
    <row r="31" spans="1:33">
      <c r="A31" t="s">
        <v>13</v>
      </c>
      <c r="B31" s="16">
        <v>39.5</v>
      </c>
      <c r="N31" s="83" t="s">
        <v>40</v>
      </c>
      <c r="O31" s="66">
        <v>8.1199999999999994E-2</v>
      </c>
      <c r="P31" s="66">
        <v>7.0999999999999994E-2</v>
      </c>
      <c r="Q31" s="89">
        <v>3.27E-2</v>
      </c>
      <c r="R31" s="89">
        <v>2.5899999999999999E-2</v>
      </c>
      <c r="S31" s="89">
        <v>6.0600000000000001E-2</v>
      </c>
      <c r="T31" s="66">
        <v>5.0599999999999999E-2</v>
      </c>
      <c r="U31" s="89">
        <v>5.7599999999999998E-2</v>
      </c>
      <c r="V31" s="82">
        <v>7.3999999999999996E-2</v>
      </c>
      <c r="W31" s="89">
        <v>4.7E-2</v>
      </c>
      <c r="X31" s="89">
        <v>5.2999999999999999E-2</v>
      </c>
      <c r="Y31" s="89">
        <v>6.4000000000000001E-2</v>
      </c>
      <c r="Z31" s="89">
        <v>4.9000000000000002E-2</v>
      </c>
      <c r="AA31" s="82">
        <v>0.05</v>
      </c>
      <c r="AB31" s="71">
        <v>4.2000000000000003E-2</v>
      </c>
      <c r="AC31" s="71">
        <v>4.8000000000000001E-2</v>
      </c>
      <c r="AD31" s="71">
        <v>0.05</v>
      </c>
      <c r="AE31" s="71">
        <v>5.2999999999999999E-2</v>
      </c>
      <c r="AF31" s="71">
        <v>5.7000000000000002E-2</v>
      </c>
      <c r="AG31" s="144">
        <v>6.0999999999999999E-2</v>
      </c>
    </row>
    <row r="32" spans="1:33">
      <c r="A32" t="s">
        <v>14</v>
      </c>
      <c r="B32" s="16">
        <v>50.5</v>
      </c>
    </row>
    <row r="33" spans="1:6">
      <c r="A33" t="s">
        <v>21</v>
      </c>
      <c r="B33" s="16">
        <v>10.1</v>
      </c>
    </row>
    <row r="35" spans="1:6">
      <c r="A35" s="180" t="s">
        <v>22</v>
      </c>
      <c r="B35" s="181"/>
      <c r="C35" s="181"/>
      <c r="D35" s="181"/>
      <c r="E35" s="181"/>
      <c r="F35" s="182"/>
    </row>
    <row r="37" spans="1:6">
      <c r="A37" t="s">
        <v>14</v>
      </c>
      <c r="B37" s="7">
        <v>0.38204740761387501</v>
      </c>
      <c r="C37" s="145">
        <v>0.01</v>
      </c>
      <c r="D37" t="s">
        <v>233</v>
      </c>
    </row>
    <row r="38" spans="1:6">
      <c r="A38" t="s">
        <v>16</v>
      </c>
      <c r="B38" s="7">
        <v>0.61795259238612499</v>
      </c>
    </row>
    <row r="39" spans="1:6">
      <c r="B39" s="7"/>
    </row>
    <row r="40" spans="1:6">
      <c r="A40" s="180" t="s">
        <v>23</v>
      </c>
      <c r="B40" s="181"/>
      <c r="C40" s="181"/>
      <c r="D40" s="181"/>
      <c r="E40" s="181"/>
      <c r="F40" s="182"/>
    </row>
    <row r="42" spans="1:6">
      <c r="A42" t="s">
        <v>24</v>
      </c>
      <c r="B42" s="7">
        <v>0.19621693750463101</v>
      </c>
    </row>
    <row r="43" spans="1:6">
      <c r="A43" t="s">
        <v>25</v>
      </c>
      <c r="B43" s="7">
        <v>0.235709291172184</v>
      </c>
    </row>
    <row r="44" spans="1:6">
      <c r="A44" t="s">
        <v>26</v>
      </c>
      <c r="B44" s="7">
        <v>2.7055118916985199E-2</v>
      </c>
    </row>
    <row r="45" spans="1:6">
      <c r="A45" t="s">
        <v>27</v>
      </c>
      <c r="B45" s="7">
        <v>0.13170161985006401</v>
      </c>
    </row>
    <row r="46" spans="1:6">
      <c r="A46" t="s">
        <v>28</v>
      </c>
      <c r="B46" s="7">
        <v>6.5088957910120093E-2</v>
      </c>
    </row>
    <row r="47" spans="1:6">
      <c r="A47" t="s">
        <v>29</v>
      </c>
      <c r="B47" s="7">
        <v>0.17054431368518999</v>
      </c>
    </row>
    <row r="48" spans="1:6">
      <c r="A48" t="s">
        <v>30</v>
      </c>
      <c r="B48" s="7">
        <v>6.0209472059490503E-2</v>
      </c>
    </row>
    <row r="49" spans="1:6">
      <c r="A49" t="s">
        <v>31</v>
      </c>
      <c r="B49" s="7">
        <v>6.53444264836434E-2</v>
      </c>
    </row>
    <row r="50" spans="1:6">
      <c r="A50" t="s">
        <v>32</v>
      </c>
      <c r="B50" s="7">
        <v>3.24412818002872E-2</v>
      </c>
    </row>
    <row r="51" spans="1:6">
      <c r="A51" t="s">
        <v>33</v>
      </c>
      <c r="B51" s="7">
        <v>1.5688580617404899E-2</v>
      </c>
    </row>
    <row r="52" spans="1:6">
      <c r="B52" s="7"/>
    </row>
    <row r="55" spans="1:6">
      <c r="A55" s="179" t="s">
        <v>12</v>
      </c>
      <c r="B55" s="179"/>
      <c r="C55" s="179"/>
      <c r="D55" s="179"/>
      <c r="E55" s="179"/>
      <c r="F55" s="179"/>
    </row>
    <row r="57" spans="1:6">
      <c r="A57" t="s">
        <v>10</v>
      </c>
      <c r="B57" s="7">
        <v>0.53400000000000003</v>
      </c>
    </row>
    <row r="58" spans="1:6">
      <c r="A58" t="s">
        <v>9</v>
      </c>
      <c r="B58" s="7">
        <v>0.46600000000000003</v>
      </c>
    </row>
    <row r="59" spans="1:6">
      <c r="B59" s="7"/>
    </row>
    <row r="60" spans="1:6">
      <c r="A60" s="180" t="s">
        <v>15</v>
      </c>
      <c r="B60" s="181"/>
      <c r="C60" s="181"/>
      <c r="D60" s="181"/>
      <c r="E60" s="181"/>
      <c r="F60" s="182"/>
    </row>
    <row r="62" spans="1:6">
      <c r="A62" s="17" t="s">
        <v>34</v>
      </c>
    </row>
    <row r="63" spans="1:6">
      <c r="A63" t="s">
        <v>10</v>
      </c>
      <c r="B63" s="7">
        <v>0.57899999999999996</v>
      </c>
    </row>
    <row r="64" spans="1:6">
      <c r="A64" t="s">
        <v>9</v>
      </c>
      <c r="B64" s="7">
        <v>0.42099999999999999</v>
      </c>
    </row>
    <row r="65" spans="1:6">
      <c r="B65" s="7"/>
    </row>
    <row r="66" spans="1:6">
      <c r="A66" s="17" t="s">
        <v>35</v>
      </c>
    </row>
    <row r="67" spans="1:6">
      <c r="A67" t="s">
        <v>10</v>
      </c>
      <c r="B67" s="7">
        <v>0.50600000000000001</v>
      </c>
    </row>
    <row r="68" spans="1:6">
      <c r="A68" t="s">
        <v>9</v>
      </c>
      <c r="B68" s="7">
        <v>0.49399999999999999</v>
      </c>
    </row>
    <row r="70" spans="1:6">
      <c r="A70" s="180" t="s">
        <v>230</v>
      </c>
      <c r="B70" s="181"/>
      <c r="C70" s="181"/>
      <c r="D70" s="181"/>
      <c r="E70" s="181"/>
      <c r="F70" s="182"/>
    </row>
    <row r="72" spans="1:6">
      <c r="A72" t="s">
        <v>10</v>
      </c>
      <c r="B72" s="7">
        <v>6.5000000000000002E-2</v>
      </c>
    </row>
    <row r="73" spans="1:6">
      <c r="A73" t="s">
        <v>9</v>
      </c>
      <c r="B73" s="7">
        <v>5.6000000000000001E-2</v>
      </c>
    </row>
    <row r="74" spans="1:6">
      <c r="B74" s="7"/>
    </row>
    <row r="75" spans="1:6">
      <c r="A75" s="180" t="s">
        <v>18</v>
      </c>
      <c r="B75" s="181"/>
      <c r="C75" s="181"/>
      <c r="D75" s="181"/>
      <c r="E75" s="181"/>
      <c r="F75" s="182"/>
    </row>
    <row r="77" spans="1:6">
      <c r="A77" t="s">
        <v>10</v>
      </c>
      <c r="B77" s="7">
        <v>8.2000000000000003E-2</v>
      </c>
    </row>
    <row r="78" spans="1:6">
      <c r="A78" t="s">
        <v>9</v>
      </c>
      <c r="B78" s="7">
        <v>9.5000000000000001E-2</v>
      </c>
    </row>
    <row r="80" spans="1:6" ht="40" customHeight="1">
      <c r="A80" s="180" t="s">
        <v>19</v>
      </c>
      <c r="B80" s="181"/>
      <c r="C80" s="181"/>
      <c r="D80" s="181"/>
      <c r="E80" s="181"/>
      <c r="F80" s="182"/>
    </row>
    <row r="82" spans="1:22">
      <c r="A82" t="s">
        <v>10</v>
      </c>
      <c r="B82" s="7">
        <v>0.58199999999999996</v>
      </c>
    </row>
    <row r="83" spans="1:22">
      <c r="A83" t="s">
        <v>9</v>
      </c>
      <c r="B83" s="7">
        <v>0.41799999999999998</v>
      </c>
    </row>
    <row r="86" spans="1:22">
      <c r="B86" s="56">
        <v>2006</v>
      </c>
      <c r="C86" s="56">
        <v>2007</v>
      </c>
      <c r="D86" s="56">
        <v>2008</v>
      </c>
      <c r="E86" s="56">
        <v>2009</v>
      </c>
      <c r="F86" s="56">
        <v>2010</v>
      </c>
      <c r="G86" s="56">
        <v>2011</v>
      </c>
      <c r="H86" s="56">
        <v>2012</v>
      </c>
      <c r="I86" s="56">
        <v>2013</v>
      </c>
      <c r="J86" s="56">
        <v>2014</v>
      </c>
      <c r="K86" s="56">
        <v>2015</v>
      </c>
      <c r="L86" s="56">
        <v>2016</v>
      </c>
      <c r="M86" s="56">
        <v>2017</v>
      </c>
      <c r="N86" s="56">
        <v>2018</v>
      </c>
      <c r="O86" s="56">
        <v>2019</v>
      </c>
      <c r="P86" s="56">
        <v>2020</v>
      </c>
      <c r="Q86" s="56">
        <v>2021</v>
      </c>
      <c r="R86" s="56">
        <v>2022</v>
      </c>
      <c r="S86" s="56">
        <v>2023</v>
      </c>
      <c r="T86" s="56">
        <v>2024</v>
      </c>
      <c r="U86" s="132">
        <v>2025</v>
      </c>
    </row>
    <row r="87" spans="1:22">
      <c r="A87" s="60" t="s">
        <v>105</v>
      </c>
      <c r="B87" s="61">
        <v>6.0999999999999999E-2</v>
      </c>
      <c r="C87" s="61">
        <v>5.6000000000000001E-2</v>
      </c>
      <c r="D87" s="61">
        <v>6.7000000000000004E-2</v>
      </c>
      <c r="E87" s="61">
        <v>6.0999999999999999E-2</v>
      </c>
      <c r="F87" s="61">
        <v>5.8999999999999997E-2</v>
      </c>
      <c r="G87" s="61">
        <v>6.6000000000000003E-2</v>
      </c>
      <c r="H87" s="61">
        <v>7.4999999999999997E-2</v>
      </c>
      <c r="I87" s="61">
        <v>8.1000000000000003E-2</v>
      </c>
      <c r="J87" s="61">
        <v>7.8E-2</v>
      </c>
      <c r="K87" s="61">
        <v>6.2E-2</v>
      </c>
      <c r="L87" s="61">
        <v>8.6999999999999994E-2</v>
      </c>
      <c r="M87" s="61">
        <v>6.7000000000000004E-2</v>
      </c>
      <c r="N87" s="61">
        <v>7.9000000000000001E-2</v>
      </c>
      <c r="O87" s="61">
        <v>9.6000000000000002E-2</v>
      </c>
      <c r="P87" s="61">
        <v>8.09E-2</v>
      </c>
      <c r="Q87" s="61">
        <v>8.6999999999999994E-2</v>
      </c>
      <c r="R87" s="62">
        <v>8.8999999999999996E-2</v>
      </c>
      <c r="S87" s="62">
        <v>9.2999999999999999E-2</v>
      </c>
      <c r="T87" s="62">
        <v>0.10580000000000001</v>
      </c>
      <c r="U87" s="143">
        <v>0.10299999999999999</v>
      </c>
    </row>
    <row r="88" spans="1:22">
      <c r="A88" s="60" t="s">
        <v>41</v>
      </c>
      <c r="B88" s="61">
        <v>7.2999999999999995E-2</v>
      </c>
      <c r="C88" s="61">
        <v>7.5999999999999998E-2</v>
      </c>
      <c r="D88" s="61">
        <v>7.0000000000000007E-2</v>
      </c>
      <c r="E88" s="61">
        <v>5.0999999999999997E-2</v>
      </c>
      <c r="F88" s="61">
        <v>4.2999999999999997E-2</v>
      </c>
      <c r="G88" s="61">
        <v>5.8000000000000003E-2</v>
      </c>
      <c r="H88" s="61">
        <v>5.7000000000000002E-2</v>
      </c>
      <c r="I88" s="61">
        <v>5.1999999999999998E-2</v>
      </c>
      <c r="J88" s="61">
        <v>5.5E-2</v>
      </c>
      <c r="K88" s="61">
        <v>5.7000000000000002E-2</v>
      </c>
      <c r="L88" s="61">
        <v>5.1999999999999998E-2</v>
      </c>
      <c r="M88" s="61">
        <v>6.2E-2</v>
      </c>
      <c r="N88" s="61">
        <v>6.4000000000000001E-2</v>
      </c>
      <c r="O88" s="61">
        <v>6.0999999999999999E-2</v>
      </c>
      <c r="P88" s="61">
        <v>5.1999999999999998E-2</v>
      </c>
      <c r="Q88" s="61">
        <v>5.5E-2</v>
      </c>
      <c r="R88" s="62">
        <v>0.06</v>
      </c>
      <c r="S88" s="62">
        <v>6.8000000000000005E-2</v>
      </c>
      <c r="T88" s="62">
        <v>7.2000000000000008E-2</v>
      </c>
      <c r="U88" s="143">
        <v>7.8E-2</v>
      </c>
    </row>
    <row r="89" spans="1:22">
      <c r="A89" s="60" t="s">
        <v>40</v>
      </c>
      <c r="B89" s="61">
        <v>8.3000000000000004E-2</v>
      </c>
      <c r="C89" s="61">
        <v>8.1000000000000003E-2</v>
      </c>
      <c r="D89" s="61">
        <v>7.0999999999999994E-2</v>
      </c>
      <c r="E89" s="61">
        <v>3.3000000000000002E-2</v>
      </c>
      <c r="F89" s="61">
        <v>2.5999999999999999E-2</v>
      </c>
      <c r="G89" s="61">
        <v>6.0999999999999999E-2</v>
      </c>
      <c r="H89" s="61">
        <v>5.0999999999999997E-2</v>
      </c>
      <c r="I89" s="61">
        <v>5.8000000000000003E-2</v>
      </c>
      <c r="J89" s="61">
        <v>7.4099999999999999E-2</v>
      </c>
      <c r="K89" s="61">
        <v>4.7E-2</v>
      </c>
      <c r="L89" s="61">
        <v>5.2999999999999999E-2</v>
      </c>
      <c r="M89" s="61">
        <v>6.4000000000000001E-2</v>
      </c>
      <c r="N89" s="61">
        <v>4.9000000000000002E-2</v>
      </c>
      <c r="O89" s="61">
        <v>4.9500000000000002E-2</v>
      </c>
      <c r="P89" s="61">
        <v>4.2099999999999999E-2</v>
      </c>
      <c r="Q89" s="61">
        <v>4.8000000000000001E-2</v>
      </c>
      <c r="R89" s="62">
        <v>0.05</v>
      </c>
      <c r="S89" s="62">
        <v>5.2999999999999999E-2</v>
      </c>
      <c r="T89" s="62">
        <v>5.7000000000000002E-2</v>
      </c>
      <c r="U89" s="7">
        <v>6.0999999999999999E-2</v>
      </c>
    </row>
    <row r="92" spans="1:22">
      <c r="A92" s="54" t="s">
        <v>106</v>
      </c>
      <c r="D92" s="63">
        <v>2007</v>
      </c>
      <c r="E92" s="63">
        <v>2008</v>
      </c>
      <c r="F92" s="63">
        <v>2009</v>
      </c>
      <c r="G92" s="63">
        <v>2010</v>
      </c>
      <c r="H92" s="63">
        <v>2011</v>
      </c>
      <c r="I92" s="63">
        <v>2012</v>
      </c>
      <c r="J92" s="63">
        <v>2013</v>
      </c>
      <c r="K92" s="63">
        <v>2014</v>
      </c>
      <c r="L92" s="63">
        <v>2015</v>
      </c>
      <c r="M92" s="63">
        <v>2016</v>
      </c>
      <c r="N92" s="63">
        <v>2017</v>
      </c>
      <c r="O92" s="63">
        <v>2018</v>
      </c>
      <c r="P92" s="63">
        <v>2019</v>
      </c>
      <c r="Q92" s="63">
        <v>2020</v>
      </c>
      <c r="R92" s="63">
        <v>2021</v>
      </c>
      <c r="S92" s="63">
        <v>2022</v>
      </c>
      <c r="T92" s="63">
        <v>2023</v>
      </c>
      <c r="U92" s="63">
        <v>2024</v>
      </c>
      <c r="V92" s="129">
        <v>2025</v>
      </c>
    </row>
    <row r="93" spans="1:22">
      <c r="A93" s="64" t="s">
        <v>94</v>
      </c>
      <c r="C93" s="65" t="s">
        <v>107</v>
      </c>
      <c r="D93" s="66">
        <v>8.1600000000000006E-2</v>
      </c>
      <c r="E93" s="66">
        <v>8.7999999999999995E-2</v>
      </c>
      <c r="F93" s="66">
        <v>7.3300000000000004E-2</v>
      </c>
      <c r="G93" s="66">
        <v>5.0299999999999997E-2</v>
      </c>
      <c r="H93" s="66">
        <v>8.0699999999999994E-2</v>
      </c>
      <c r="I93" s="66">
        <v>0.1111</v>
      </c>
      <c r="J93" s="66">
        <v>0.104</v>
      </c>
      <c r="K93" s="66">
        <v>9.6000000000000002E-2</v>
      </c>
      <c r="L93" s="66">
        <v>6.8000000000000005E-2</v>
      </c>
      <c r="M93" s="66">
        <v>6.6000000000000003E-2</v>
      </c>
      <c r="N93" s="66">
        <v>7.5999999999999998E-2</v>
      </c>
      <c r="O93" s="66">
        <v>8.6999999999999994E-2</v>
      </c>
      <c r="P93" s="66">
        <v>7.0199999999999999E-2</v>
      </c>
      <c r="Q93" s="67">
        <v>7.5999999999999998E-2</v>
      </c>
      <c r="R93" s="67">
        <v>8.2000000000000003E-2</v>
      </c>
      <c r="S93" s="67">
        <v>7.5399999999999995E-2</v>
      </c>
      <c r="T93" s="67">
        <v>7.6999999999999999E-2</v>
      </c>
      <c r="U93" s="68">
        <v>8.6999999999999994E-2</v>
      </c>
      <c r="V93" s="142">
        <v>9.9000000000000005E-2</v>
      </c>
    </row>
    <row r="94" spans="1:22">
      <c r="A94" s="64" t="s">
        <v>95</v>
      </c>
      <c r="C94" s="65" t="s">
        <v>108</v>
      </c>
      <c r="D94" s="66">
        <v>8.1199999999999994E-2</v>
      </c>
      <c r="E94" s="66">
        <v>7.0999999999999994E-2</v>
      </c>
      <c r="F94" s="66">
        <v>3.27E-2</v>
      </c>
      <c r="G94" s="66">
        <v>2.5899999999999999E-2</v>
      </c>
      <c r="H94" s="66">
        <v>6.0600000000000001E-2</v>
      </c>
      <c r="I94" s="66">
        <v>5.0599999999999999E-2</v>
      </c>
      <c r="J94" s="66">
        <v>5.7599999999999998E-2</v>
      </c>
      <c r="K94" s="66">
        <v>7.3999999999999996E-2</v>
      </c>
      <c r="L94" s="66">
        <v>4.7E-2</v>
      </c>
      <c r="M94" s="66">
        <v>5.2999999999999999E-2</v>
      </c>
      <c r="N94" s="66">
        <v>6.4000000000000001E-2</v>
      </c>
      <c r="O94" s="66">
        <v>4.9000000000000002E-2</v>
      </c>
      <c r="P94" s="66">
        <v>0.05</v>
      </c>
      <c r="Q94" s="67">
        <v>4.2000000000000003E-2</v>
      </c>
      <c r="R94" s="67">
        <v>4.8000000000000001E-2</v>
      </c>
      <c r="S94" s="67">
        <v>0.05</v>
      </c>
      <c r="T94" s="67">
        <v>5.2999999999999999E-2</v>
      </c>
      <c r="U94" s="68">
        <v>5.7000000000000002E-2</v>
      </c>
      <c r="V94" s="142">
        <v>6.0999999999999999E-2</v>
      </c>
    </row>
    <row r="95" spans="1:22">
      <c r="A95" s="64" t="s">
        <v>100</v>
      </c>
      <c r="C95" s="65" t="s">
        <v>109</v>
      </c>
      <c r="D95" s="66">
        <v>6.4000000000000001E-2</v>
      </c>
      <c r="E95" s="66">
        <v>0.1273</v>
      </c>
      <c r="F95" s="66">
        <v>7.8E-2</v>
      </c>
      <c r="G95" s="66">
        <v>0.115</v>
      </c>
      <c r="H95" s="66">
        <v>0.12939999999999999</v>
      </c>
      <c r="I95" s="66">
        <v>0.1018</v>
      </c>
      <c r="J95" s="66">
        <v>0.12570000000000001</v>
      </c>
      <c r="K95" s="66">
        <v>0.1215</v>
      </c>
      <c r="L95" s="66">
        <v>0.11799999999999999</v>
      </c>
      <c r="M95" s="66">
        <v>9.0999999999999998E-2</v>
      </c>
      <c r="N95" s="66">
        <v>0.1076</v>
      </c>
      <c r="O95" s="66">
        <v>0.108</v>
      </c>
      <c r="P95" s="66">
        <v>0.1033</v>
      </c>
      <c r="Q95" s="67">
        <v>7.0999999999999994E-2</v>
      </c>
      <c r="R95" s="67">
        <v>7.9000000000000001E-2</v>
      </c>
      <c r="S95" s="67">
        <v>7.5399999999999995E-2</v>
      </c>
      <c r="T95" s="67">
        <v>7.4999999999999997E-2</v>
      </c>
      <c r="U95" s="68">
        <v>5.7000000000000002E-2</v>
      </c>
      <c r="V95" s="142">
        <v>8.8000000000000009E-2</v>
      </c>
    </row>
    <row r="97" spans="1:23">
      <c r="A97" s="54" t="s">
        <v>106</v>
      </c>
      <c r="D97" s="55">
        <v>2006</v>
      </c>
      <c r="E97" s="55">
        <v>2007</v>
      </c>
      <c r="F97" s="55">
        <v>2008</v>
      </c>
      <c r="G97" s="55">
        <v>2009</v>
      </c>
      <c r="H97" s="55">
        <v>2010</v>
      </c>
      <c r="I97" s="55">
        <v>2011</v>
      </c>
      <c r="J97" s="55">
        <v>2012</v>
      </c>
      <c r="K97" s="55">
        <v>2013</v>
      </c>
      <c r="L97" s="55">
        <v>2014</v>
      </c>
      <c r="M97" s="55">
        <v>2015</v>
      </c>
      <c r="N97" s="55">
        <v>2016</v>
      </c>
      <c r="O97" s="55">
        <v>2017</v>
      </c>
      <c r="P97" s="55">
        <v>2018</v>
      </c>
      <c r="Q97" s="55">
        <v>2019</v>
      </c>
      <c r="R97" s="69">
        <v>2020</v>
      </c>
      <c r="S97" s="69">
        <v>2021</v>
      </c>
      <c r="T97" s="69">
        <v>2022</v>
      </c>
      <c r="U97" s="69">
        <v>2023</v>
      </c>
      <c r="V97" s="69">
        <v>2024</v>
      </c>
      <c r="W97" s="130">
        <v>2025</v>
      </c>
    </row>
    <row r="98" spans="1:23">
      <c r="A98" s="64" t="s">
        <v>97</v>
      </c>
      <c r="C98" s="45" t="s">
        <v>110</v>
      </c>
      <c r="D98" s="67">
        <v>5.2299999999999999E-2</v>
      </c>
      <c r="E98" s="67">
        <v>3.9399999999999998E-2</v>
      </c>
      <c r="F98" s="67">
        <v>4.7E-2</v>
      </c>
      <c r="G98" s="67">
        <v>2.4199999999999999E-2</v>
      </c>
      <c r="H98" s="67">
        <v>0.01</v>
      </c>
      <c r="I98" s="67">
        <v>2.8000000000000001E-2</v>
      </c>
      <c r="J98" s="67">
        <v>2.1100000000000001E-2</v>
      </c>
      <c r="K98" s="70">
        <v>2.1100000000000001E-2</v>
      </c>
      <c r="L98" s="67">
        <v>0.03</v>
      </c>
      <c r="M98" s="67">
        <v>2.1000000000000001E-2</v>
      </c>
      <c r="N98" s="67">
        <v>0.03</v>
      </c>
      <c r="O98" s="67">
        <v>3.9E-2</v>
      </c>
      <c r="P98" s="67">
        <v>2.5000000000000001E-2</v>
      </c>
      <c r="Q98" s="67">
        <v>2.7999999999999997E-2</v>
      </c>
      <c r="R98" s="71">
        <v>2.4E-2</v>
      </c>
      <c r="S98" s="71">
        <v>2.1999999999999999E-2</v>
      </c>
      <c r="T98" s="71">
        <v>1.9E-2</v>
      </c>
      <c r="U98" s="71">
        <v>1.7000000000000001E-2</v>
      </c>
      <c r="V98" s="71">
        <f>V100-V99</f>
        <v>3.5000000000000003E-2</v>
      </c>
      <c r="W98" s="144">
        <v>3.2000000000000001E-2</v>
      </c>
    </row>
    <row r="99" spans="1:23">
      <c r="A99" s="64" t="s">
        <v>95</v>
      </c>
      <c r="C99" s="45" t="s">
        <v>111</v>
      </c>
      <c r="D99" s="67">
        <v>3.2300000000000002E-2</v>
      </c>
      <c r="E99" s="67">
        <v>4.3499999999999997E-2</v>
      </c>
      <c r="F99" s="67">
        <v>2.4E-2</v>
      </c>
      <c r="G99" s="67">
        <v>8.9999999999999993E-3</v>
      </c>
      <c r="H99" s="67">
        <v>1.5900000000000001E-2</v>
      </c>
      <c r="I99" s="67">
        <v>3.2599999999999997E-2</v>
      </c>
      <c r="J99" s="67">
        <v>2.9499999999999998E-2</v>
      </c>
      <c r="K99" s="70">
        <v>3.6499999999999998E-2</v>
      </c>
      <c r="L99" s="67">
        <v>4.3999999999999997E-2</v>
      </c>
      <c r="M99" s="67">
        <v>2.5999999999999999E-2</v>
      </c>
      <c r="N99" s="67">
        <v>2.3E-2</v>
      </c>
      <c r="O99" s="67">
        <v>2.5000000000000001E-2</v>
      </c>
      <c r="P99" s="67">
        <v>2.4E-2</v>
      </c>
      <c r="Q99" s="67">
        <v>2.1000000000000001E-2</v>
      </c>
      <c r="R99" s="71">
        <v>1.7999999999999999E-2</v>
      </c>
      <c r="S99" s="71">
        <v>2.5999999999999999E-2</v>
      </c>
      <c r="T99" s="71">
        <v>3.1E-2</v>
      </c>
      <c r="U99" s="71">
        <v>3.5999999999999997E-2</v>
      </c>
      <c r="V99" s="71">
        <v>2.1999999999999999E-2</v>
      </c>
      <c r="W99" s="144">
        <v>2.8999999999999998E-2</v>
      </c>
    </row>
    <row r="100" spans="1:23">
      <c r="A100" s="64" t="s">
        <v>112</v>
      </c>
      <c r="C100" s="27" t="s">
        <v>108</v>
      </c>
      <c r="D100" s="70">
        <v>8.3299999999999999E-2</v>
      </c>
      <c r="E100" s="70">
        <v>8.1199999999999994E-2</v>
      </c>
      <c r="F100" s="70">
        <v>7.0999999999999994E-2</v>
      </c>
      <c r="G100" s="67">
        <v>3.27E-2</v>
      </c>
      <c r="H100" s="67">
        <v>2.5899999999999999E-2</v>
      </c>
      <c r="I100" s="67">
        <v>6.0600000000000001E-2</v>
      </c>
      <c r="J100" s="67">
        <v>5.0599999999999999E-2</v>
      </c>
      <c r="K100" s="70">
        <v>5.7599999999999998E-2</v>
      </c>
      <c r="L100" s="67">
        <v>7.3999999999999996E-2</v>
      </c>
      <c r="M100" s="67">
        <v>4.7E-2</v>
      </c>
      <c r="N100" s="67">
        <v>5.2999999999999999E-2</v>
      </c>
      <c r="O100" s="67">
        <v>6.4000000000000001E-2</v>
      </c>
      <c r="P100" s="67">
        <v>4.9000000000000002E-2</v>
      </c>
      <c r="Q100" s="67">
        <v>0.05</v>
      </c>
      <c r="R100" s="71">
        <v>4.2000000000000003E-2</v>
      </c>
      <c r="S100" s="71">
        <v>4.8000000000000001E-2</v>
      </c>
      <c r="T100" s="71">
        <v>0.05</v>
      </c>
      <c r="U100" s="71">
        <v>5.2999999999999999E-2</v>
      </c>
      <c r="V100" s="71">
        <v>5.7000000000000002E-2</v>
      </c>
      <c r="W100" s="144">
        <v>6.0999999999999999E-2</v>
      </c>
    </row>
    <row r="103" spans="1:23">
      <c r="A103" s="54" t="s">
        <v>106</v>
      </c>
      <c r="C103" s="72"/>
      <c r="D103" s="73">
        <v>2007</v>
      </c>
      <c r="E103" s="73">
        <v>2008</v>
      </c>
      <c r="F103" s="73">
        <v>2009</v>
      </c>
      <c r="G103" s="73">
        <v>2010</v>
      </c>
      <c r="H103" s="73">
        <v>2011</v>
      </c>
      <c r="I103" s="73">
        <v>2012</v>
      </c>
      <c r="J103" s="73">
        <v>2013</v>
      </c>
      <c r="K103" s="73">
        <v>2014</v>
      </c>
      <c r="L103" s="73">
        <v>2015</v>
      </c>
      <c r="M103" s="73">
        <v>2016</v>
      </c>
      <c r="N103" s="73">
        <v>2017</v>
      </c>
      <c r="O103" s="73">
        <v>2018</v>
      </c>
      <c r="P103" s="73">
        <v>2019</v>
      </c>
      <c r="Q103" s="73">
        <v>2020</v>
      </c>
      <c r="R103" s="73">
        <v>2021</v>
      </c>
      <c r="S103" s="73">
        <v>2022</v>
      </c>
      <c r="T103" s="73">
        <v>2023</v>
      </c>
      <c r="U103" s="73">
        <v>2024</v>
      </c>
      <c r="V103" s="131">
        <v>2025</v>
      </c>
    </row>
    <row r="104" spans="1:23">
      <c r="A104" s="64" t="s">
        <v>104</v>
      </c>
      <c r="C104" s="74" t="s">
        <v>113</v>
      </c>
      <c r="D104" s="75">
        <v>5.0000000000000001E-3</v>
      </c>
      <c r="E104" s="75">
        <v>3.0000000000000001E-3</v>
      </c>
      <c r="F104" s="75">
        <v>2E-3</v>
      </c>
      <c r="G104" s="75">
        <v>4.0000000000000001E-3</v>
      </c>
      <c r="H104" s="75">
        <v>6.0000000000000001E-3</v>
      </c>
      <c r="I104" s="75">
        <v>4.0000000000000001E-3</v>
      </c>
      <c r="J104" s="75">
        <v>4.0000000000000001E-3</v>
      </c>
      <c r="K104" s="75">
        <v>7.0000000000000001E-3</v>
      </c>
      <c r="L104" s="75">
        <v>3.0000000000000001E-3</v>
      </c>
      <c r="M104" s="75">
        <v>5.0000000000000001E-3</v>
      </c>
      <c r="N104" s="75">
        <v>6.0000000000000001E-3</v>
      </c>
      <c r="O104" s="75">
        <v>8.0000000000000002E-3</v>
      </c>
      <c r="P104" s="75">
        <v>8.0000000000000002E-3</v>
      </c>
      <c r="Q104" s="75">
        <v>1E-3</v>
      </c>
      <c r="R104" s="75">
        <v>7.0000000000000001E-3</v>
      </c>
      <c r="S104" s="75">
        <v>5.0000000000000001E-3</v>
      </c>
      <c r="T104" s="75">
        <v>8.0000000000000002E-3</v>
      </c>
      <c r="U104" s="75">
        <v>4.0000000000000001E-3</v>
      </c>
      <c r="V104" s="146">
        <v>1.6E-2</v>
      </c>
    </row>
    <row r="105" spans="1:23">
      <c r="C105" s="74" t="s">
        <v>114</v>
      </c>
      <c r="D105" s="75">
        <v>5.0000000000000001E-3</v>
      </c>
      <c r="E105" s="75">
        <v>7.0000000000000001E-3</v>
      </c>
      <c r="F105" s="75">
        <v>1.0999999999999999E-2</v>
      </c>
      <c r="G105" s="75">
        <v>7.0000000000000001E-3</v>
      </c>
      <c r="H105" s="75">
        <v>1.2E-2</v>
      </c>
      <c r="I105" s="75">
        <v>1.4E-2</v>
      </c>
      <c r="J105" s="75">
        <v>1.7000000000000001E-2</v>
      </c>
      <c r="K105" s="75">
        <v>0.02</v>
      </c>
      <c r="L105" s="75">
        <v>8.0000000000000002E-3</v>
      </c>
      <c r="M105" s="75">
        <v>8.9999999999999993E-3</v>
      </c>
      <c r="N105" s="75">
        <v>1.2E-2</v>
      </c>
      <c r="O105" s="75">
        <v>1.4999999999999999E-2</v>
      </c>
      <c r="P105" s="75">
        <v>1.0999999999999999E-2</v>
      </c>
      <c r="Q105" s="75">
        <v>1.2999999999999999E-2</v>
      </c>
      <c r="R105" s="75">
        <v>1.2E-2</v>
      </c>
      <c r="S105" s="75">
        <v>8.0000000000000002E-3</v>
      </c>
      <c r="T105" s="75">
        <v>1.7000000000000001E-2</v>
      </c>
      <c r="U105" s="75">
        <v>1.7999999999999999E-2</v>
      </c>
      <c r="V105" s="145">
        <v>0.01</v>
      </c>
    </row>
    <row r="106" spans="1:23">
      <c r="C106" s="74" t="s">
        <v>115</v>
      </c>
      <c r="D106" s="75">
        <v>0.01</v>
      </c>
      <c r="E106" s="75">
        <v>0.01</v>
      </c>
      <c r="F106" s="75">
        <v>1.2999999999999999E-2</v>
      </c>
      <c r="G106" s="75">
        <v>0.01</v>
      </c>
      <c r="H106" s="75">
        <v>1.7999999999999999E-2</v>
      </c>
      <c r="I106" s="75">
        <v>1.7999999999999999E-2</v>
      </c>
      <c r="J106" s="75">
        <v>2.1000000000000001E-2</v>
      </c>
      <c r="K106" s="75">
        <v>2.7E-2</v>
      </c>
      <c r="L106" s="75">
        <v>1.0999999999999999E-2</v>
      </c>
      <c r="M106" s="75">
        <v>1.4E-2</v>
      </c>
      <c r="N106" s="75">
        <v>1.7999999999999999E-2</v>
      </c>
      <c r="O106" s="75">
        <v>2.3E-2</v>
      </c>
      <c r="P106" s="75">
        <v>1.9E-2</v>
      </c>
      <c r="Q106" s="75">
        <v>1.4E-2</v>
      </c>
      <c r="R106" s="75">
        <v>1.9E-2</v>
      </c>
      <c r="S106" s="75">
        <v>1.2999999999999999E-2</v>
      </c>
      <c r="T106" s="75">
        <v>2.5000000000000001E-2</v>
      </c>
      <c r="U106" s="75">
        <v>2.1999999999999999E-2</v>
      </c>
      <c r="V106" s="146">
        <v>2.6000000000000002E-2</v>
      </c>
    </row>
    <row r="108" spans="1:23">
      <c r="A108" s="54" t="s">
        <v>92</v>
      </c>
      <c r="D108" s="90">
        <v>2008</v>
      </c>
      <c r="E108" s="90">
        <v>2009</v>
      </c>
      <c r="F108" s="90">
        <v>2010</v>
      </c>
      <c r="G108" s="90">
        <v>2011</v>
      </c>
      <c r="H108" s="90">
        <v>2012</v>
      </c>
      <c r="I108" s="90">
        <v>2013</v>
      </c>
      <c r="J108" s="90">
        <v>2014</v>
      </c>
      <c r="K108" s="90">
        <v>2015</v>
      </c>
      <c r="L108" s="90">
        <v>2016</v>
      </c>
      <c r="M108" s="90">
        <v>2017</v>
      </c>
      <c r="N108" s="90">
        <v>2018</v>
      </c>
      <c r="O108" s="90">
        <v>2019</v>
      </c>
      <c r="P108" s="90">
        <v>2020</v>
      </c>
      <c r="Q108" s="90">
        <v>2021</v>
      </c>
      <c r="R108" s="90">
        <v>2022</v>
      </c>
      <c r="S108" s="90">
        <v>2023</v>
      </c>
      <c r="T108" s="90">
        <v>2024</v>
      </c>
      <c r="U108" s="90">
        <v>2025</v>
      </c>
    </row>
    <row r="109" spans="1:23">
      <c r="A109" s="64" t="s">
        <v>119</v>
      </c>
      <c r="C109" s="91" t="s">
        <v>120</v>
      </c>
      <c r="D109" s="88">
        <v>8.2199999999999995E-2</v>
      </c>
      <c r="E109" s="88">
        <v>3.0200000000000001E-2</v>
      </c>
      <c r="F109" s="88">
        <v>3.1399999999999997E-2</v>
      </c>
      <c r="G109" s="88">
        <v>5.9799999999999999E-2</v>
      </c>
      <c r="H109" s="92">
        <v>7.0000000000000007E-2</v>
      </c>
      <c r="I109" s="92">
        <v>6.8000000000000005E-2</v>
      </c>
      <c r="J109" s="92">
        <v>9.1999999999999998E-2</v>
      </c>
      <c r="K109" s="92">
        <v>4.2000000000000003E-2</v>
      </c>
      <c r="L109" s="92">
        <v>5.0999999999999997E-2</v>
      </c>
      <c r="M109" s="92">
        <v>8.3599999999999994E-2</v>
      </c>
      <c r="N109" s="92">
        <v>4.2999999999999997E-2</v>
      </c>
      <c r="O109" s="92">
        <v>5.5E-2</v>
      </c>
      <c r="P109" s="62">
        <v>5.8999999999999997E-2</v>
      </c>
      <c r="Q109" s="62">
        <v>0.05</v>
      </c>
      <c r="R109" s="62">
        <v>4.4999999999999998E-2</v>
      </c>
      <c r="S109" s="6">
        <v>7.17E-2</v>
      </c>
      <c r="T109" s="6">
        <v>4.9000000000000002E-2</v>
      </c>
      <c r="U109" s="7">
        <v>6.5000000000000002E-2</v>
      </c>
    </row>
    <row r="110" spans="1:23">
      <c r="A110" s="64" t="s">
        <v>95</v>
      </c>
      <c r="C110" s="91" t="s">
        <v>121</v>
      </c>
      <c r="D110" s="88">
        <v>5.9700000000000003E-2</v>
      </c>
      <c r="E110" s="88">
        <v>3.5400000000000001E-2</v>
      </c>
      <c r="F110" s="88">
        <v>2.06E-2</v>
      </c>
      <c r="G110" s="88">
        <v>6.1499999999999999E-2</v>
      </c>
      <c r="H110" s="92">
        <v>3.1E-2</v>
      </c>
      <c r="I110" s="92">
        <v>4.5999999999999999E-2</v>
      </c>
      <c r="J110" s="92">
        <v>5.5E-2</v>
      </c>
      <c r="K110" s="92">
        <v>5.5E-2</v>
      </c>
      <c r="L110" s="92">
        <v>5.5E-2</v>
      </c>
      <c r="M110" s="92">
        <v>4.3700000000000003E-2</v>
      </c>
      <c r="N110" s="92">
        <v>5.7000000000000002E-2</v>
      </c>
      <c r="O110" s="92">
        <v>4.2999999999999997E-2</v>
      </c>
      <c r="P110" s="62">
        <v>2.4E-2</v>
      </c>
      <c r="Q110" s="62">
        <v>4.5999999999999999E-2</v>
      </c>
      <c r="R110" s="93">
        <v>5.5E-2</v>
      </c>
      <c r="S110" s="6">
        <v>3.2899999999999999E-2</v>
      </c>
      <c r="T110" s="6">
        <v>6.5000000000000002E-2</v>
      </c>
      <c r="U110" s="7">
        <v>5.6000000000000001E-2</v>
      </c>
    </row>
    <row r="112" spans="1:23">
      <c r="B112" s="76">
        <v>2006</v>
      </c>
      <c r="C112" s="76">
        <v>2007</v>
      </c>
      <c r="D112" s="76">
        <v>2008</v>
      </c>
      <c r="E112" s="76">
        <v>2009</v>
      </c>
      <c r="F112" s="76">
        <v>2010</v>
      </c>
      <c r="G112" s="76">
        <v>2011</v>
      </c>
      <c r="H112" s="76">
        <v>2012</v>
      </c>
      <c r="I112" s="76">
        <v>2013</v>
      </c>
      <c r="J112" s="76">
        <v>2014</v>
      </c>
      <c r="K112" s="77">
        <v>2015</v>
      </c>
      <c r="L112" s="77">
        <v>2016</v>
      </c>
      <c r="M112" s="77">
        <v>2017</v>
      </c>
      <c r="N112" s="77">
        <v>2018</v>
      </c>
      <c r="O112" s="78">
        <v>2019</v>
      </c>
      <c r="P112" s="78">
        <v>2020</v>
      </c>
      <c r="Q112" s="78">
        <v>2021</v>
      </c>
      <c r="R112" s="78">
        <v>2022</v>
      </c>
      <c r="S112" s="78">
        <v>2023</v>
      </c>
      <c r="T112" s="78">
        <v>2024</v>
      </c>
      <c r="U112" s="133">
        <v>2025</v>
      </c>
    </row>
    <row r="113" spans="1:21">
      <c r="A113" s="79" t="s">
        <v>116</v>
      </c>
      <c r="B113" s="80">
        <v>0.121</v>
      </c>
      <c r="C113" s="80">
        <v>0.104</v>
      </c>
      <c r="D113" s="80">
        <v>7.4999999999999997E-2</v>
      </c>
      <c r="E113" s="80">
        <v>3.3000000000000002E-2</v>
      </c>
      <c r="F113" s="81">
        <v>2.8000000000000001E-2</v>
      </c>
      <c r="G113" s="81">
        <v>6.0999999999999999E-2</v>
      </c>
      <c r="H113" s="81">
        <v>5.3999999999999999E-2</v>
      </c>
      <c r="I113" s="81">
        <v>5.6000000000000001E-2</v>
      </c>
      <c r="J113" s="81">
        <v>9.06E-2</v>
      </c>
      <c r="K113" s="81">
        <v>5.8000000000000003E-2</v>
      </c>
      <c r="L113" s="81">
        <v>4.9000000000000002E-2</v>
      </c>
      <c r="M113" s="71">
        <v>8.6999999999999994E-2</v>
      </c>
      <c r="N113" s="81">
        <v>6.3E-2</v>
      </c>
      <c r="O113" s="82">
        <v>6.4000000000000001E-2</v>
      </c>
      <c r="P113" s="71">
        <v>5.6000000000000001E-2</v>
      </c>
      <c r="Q113" s="71">
        <v>4.3999999999999997E-2</v>
      </c>
      <c r="R113" s="71">
        <v>4.7E-2</v>
      </c>
      <c r="S113" s="71">
        <v>4.4999999999999998E-2</v>
      </c>
      <c r="T113" s="71">
        <v>3.5000000000000003E-2</v>
      </c>
      <c r="U113" s="144">
        <v>7.400000000000001E-2</v>
      </c>
    </row>
    <row r="114" spans="1:21">
      <c r="A114" s="79" t="s">
        <v>117</v>
      </c>
      <c r="B114" s="80">
        <v>6.2E-2</v>
      </c>
      <c r="C114" s="80">
        <v>6.9000000000000006E-2</v>
      </c>
      <c r="D114" s="80">
        <v>6.9000000000000006E-2</v>
      </c>
      <c r="E114" s="80">
        <v>3.1E-2</v>
      </c>
      <c r="F114" s="81">
        <v>2.5000000000000001E-2</v>
      </c>
      <c r="G114" s="81">
        <v>5.8999999999999997E-2</v>
      </c>
      <c r="H114" s="81">
        <v>4.9000000000000002E-2</v>
      </c>
      <c r="I114" s="81">
        <v>5.8000000000000003E-2</v>
      </c>
      <c r="J114" s="81">
        <v>6.5000000000000002E-2</v>
      </c>
      <c r="K114" s="81">
        <v>4.1000000000000002E-2</v>
      </c>
      <c r="L114" s="81">
        <v>5.5E-2</v>
      </c>
      <c r="M114" s="71">
        <v>5.0999999999999997E-2</v>
      </c>
      <c r="N114" s="81">
        <v>4.1000000000000002E-2</v>
      </c>
      <c r="O114" s="82">
        <v>4.2000000000000003E-2</v>
      </c>
      <c r="P114" s="71">
        <v>3.4000000000000002E-2</v>
      </c>
      <c r="Q114" s="71">
        <v>0.05</v>
      </c>
      <c r="R114" s="71">
        <v>5.0999999999999997E-2</v>
      </c>
      <c r="S114" s="71">
        <v>5.7000000000000002E-2</v>
      </c>
      <c r="T114" s="71">
        <v>6.7000000000000004E-2</v>
      </c>
      <c r="U114" s="144">
        <v>5.4000000000000006E-2</v>
      </c>
    </row>
    <row r="115" spans="1:21">
      <c r="A115" s="83" t="s">
        <v>40</v>
      </c>
      <c r="B115" s="84">
        <v>8.3299999999999999E-2</v>
      </c>
      <c r="C115" s="84">
        <v>8.1199999999999994E-2</v>
      </c>
      <c r="D115" s="84">
        <v>7.0999999999999994E-2</v>
      </c>
      <c r="E115" s="85">
        <v>3.27E-2</v>
      </c>
      <c r="F115" s="85">
        <v>2.5899999999999999E-2</v>
      </c>
      <c r="G115" s="85">
        <v>6.0600000000000001E-2</v>
      </c>
      <c r="H115" s="84">
        <v>5.0599999999999999E-2</v>
      </c>
      <c r="I115" s="85">
        <v>5.7599999999999998E-2</v>
      </c>
      <c r="J115" s="71">
        <v>7.3999999999999996E-2</v>
      </c>
      <c r="K115" s="85">
        <v>4.7E-2</v>
      </c>
      <c r="L115" s="85">
        <v>5.2999999999999999E-2</v>
      </c>
      <c r="M115" s="85">
        <v>6.4000000000000001E-2</v>
      </c>
      <c r="N115" s="85">
        <v>4.9000000000000002E-2</v>
      </c>
      <c r="O115" s="82">
        <v>0.05</v>
      </c>
      <c r="P115" s="71">
        <v>4.2000000000000003E-2</v>
      </c>
      <c r="Q115" s="71">
        <v>4.8000000000000001E-2</v>
      </c>
      <c r="R115" s="71">
        <v>0.05</v>
      </c>
      <c r="S115" s="71">
        <v>5.2999999999999999E-2</v>
      </c>
      <c r="T115" s="71">
        <v>5.7000000000000002E-2</v>
      </c>
      <c r="U115" s="7">
        <v>6.0999999999999999E-2</v>
      </c>
    </row>
    <row r="117" spans="1:21">
      <c r="C117" s="178" t="s">
        <v>232</v>
      </c>
      <c r="D117" s="178"/>
      <c r="E117" s="178"/>
      <c r="F117" s="178"/>
    </row>
    <row r="118" spans="1:21">
      <c r="C118" s="136" t="s">
        <v>231</v>
      </c>
      <c r="D118" s="136" t="s">
        <v>107</v>
      </c>
      <c r="E118" s="136" t="s">
        <v>108</v>
      </c>
      <c r="F118" s="136" t="s">
        <v>109</v>
      </c>
    </row>
    <row r="120" spans="1:21">
      <c r="C120">
        <v>2008</v>
      </c>
      <c r="D120">
        <v>0.6</v>
      </c>
      <c r="E120">
        <v>-1</v>
      </c>
      <c r="F120">
        <v>6.3</v>
      </c>
    </row>
    <row r="121" spans="1:21">
      <c r="C121">
        <v>2009</v>
      </c>
      <c r="D121">
        <v>-1.5</v>
      </c>
      <c r="E121">
        <v>-3.8</v>
      </c>
      <c r="F121">
        <v>-4.9000000000000004</v>
      </c>
    </row>
    <row r="122" spans="1:21">
      <c r="C122">
        <v>2010</v>
      </c>
      <c r="D122">
        <v>-2.2999999999999998</v>
      </c>
      <c r="E122">
        <v>-0.7</v>
      </c>
      <c r="F122">
        <v>3.7</v>
      </c>
    </row>
    <row r="123" spans="1:21">
      <c r="C123">
        <v>2011</v>
      </c>
      <c r="D123">
        <v>3.1</v>
      </c>
      <c r="E123">
        <v>3.5</v>
      </c>
      <c r="F123">
        <v>1.4</v>
      </c>
    </row>
    <row r="124" spans="1:21">
      <c r="C124">
        <v>2012</v>
      </c>
      <c r="D124">
        <v>3</v>
      </c>
      <c r="E124">
        <v>-1</v>
      </c>
      <c r="F124">
        <v>-2.7</v>
      </c>
    </row>
    <row r="125" spans="1:21">
      <c r="C125">
        <v>2013</v>
      </c>
      <c r="D125">
        <v>-0.7</v>
      </c>
      <c r="E125">
        <v>0.7</v>
      </c>
      <c r="F125">
        <v>2.4</v>
      </c>
    </row>
    <row r="126" spans="1:21">
      <c r="C126">
        <v>2014</v>
      </c>
      <c r="D126">
        <v>-0.8</v>
      </c>
      <c r="E126">
        <v>1.6</v>
      </c>
      <c r="F126">
        <v>-0.4</v>
      </c>
    </row>
    <row r="127" spans="1:21">
      <c r="C127">
        <v>2015</v>
      </c>
      <c r="D127">
        <v>-2.8</v>
      </c>
      <c r="E127">
        <v>-2.7</v>
      </c>
      <c r="F127">
        <v>-0.4</v>
      </c>
    </row>
    <row r="128" spans="1:21">
      <c r="C128">
        <v>2016</v>
      </c>
      <c r="D128">
        <v>-0.2</v>
      </c>
      <c r="E128">
        <v>0.6</v>
      </c>
      <c r="F128">
        <v>-2.7</v>
      </c>
    </row>
    <row r="129" spans="3:6">
      <c r="C129">
        <v>2017</v>
      </c>
      <c r="D129">
        <v>1</v>
      </c>
      <c r="E129">
        <v>1.1000000000000001</v>
      </c>
      <c r="F129">
        <v>1.7</v>
      </c>
    </row>
    <row r="130" spans="3:6">
      <c r="C130">
        <v>2018</v>
      </c>
      <c r="D130">
        <v>1.1000000000000001</v>
      </c>
      <c r="E130">
        <v>-1.5</v>
      </c>
      <c r="F130">
        <v>0</v>
      </c>
    </row>
    <row r="131" spans="3:6">
      <c r="C131">
        <v>2019</v>
      </c>
      <c r="D131">
        <v>-1.7</v>
      </c>
      <c r="E131">
        <v>0.1</v>
      </c>
      <c r="F131">
        <v>-0.5</v>
      </c>
    </row>
    <row r="132" spans="3:6">
      <c r="C132">
        <v>2020</v>
      </c>
      <c r="D132">
        <v>0.6</v>
      </c>
      <c r="E132">
        <v>-0.8</v>
      </c>
      <c r="F132">
        <v>-3.2</v>
      </c>
    </row>
    <row r="133" spans="3:6">
      <c r="C133">
        <v>2021</v>
      </c>
      <c r="D133">
        <v>0.6</v>
      </c>
      <c r="E133">
        <v>0.6</v>
      </c>
      <c r="F133">
        <v>0.8</v>
      </c>
    </row>
    <row r="134" spans="3:6">
      <c r="C134">
        <v>2022</v>
      </c>
      <c r="D134">
        <v>-0.7</v>
      </c>
      <c r="E134">
        <v>0.2</v>
      </c>
      <c r="F134">
        <v>-0.4</v>
      </c>
    </row>
    <row r="135" spans="3:6">
      <c r="C135">
        <v>2023</v>
      </c>
      <c r="D135">
        <v>0.2</v>
      </c>
      <c r="E135">
        <v>0.3</v>
      </c>
      <c r="F135">
        <v>0</v>
      </c>
    </row>
    <row r="136" spans="3:6">
      <c r="C136">
        <v>2024</v>
      </c>
      <c r="D136">
        <v>1</v>
      </c>
      <c r="E136">
        <v>0.4</v>
      </c>
      <c r="F136">
        <v>-1.8</v>
      </c>
    </row>
    <row r="137" spans="3:6">
      <c r="C137">
        <v>2025</v>
      </c>
      <c r="D137">
        <v>1.2</v>
      </c>
      <c r="E137">
        <v>0.4</v>
      </c>
      <c r="F137">
        <v>3.1</v>
      </c>
    </row>
    <row r="138" spans="3:6">
      <c r="D138" s="141"/>
      <c r="E138" s="141"/>
      <c r="F138" s="141"/>
    </row>
  </sheetData>
  <mergeCells count="19">
    <mergeCell ref="L5:R6"/>
    <mergeCell ref="L16:R17"/>
    <mergeCell ref="L7:R7"/>
    <mergeCell ref="L18:R18"/>
    <mergeCell ref="A25:F25"/>
    <mergeCell ref="C117:F117"/>
    <mergeCell ref="A5:F5"/>
    <mergeCell ref="A1:G2"/>
    <mergeCell ref="A10:F10"/>
    <mergeCell ref="A15:F15"/>
    <mergeCell ref="A20:F20"/>
    <mergeCell ref="A75:F75"/>
    <mergeCell ref="A30:F30"/>
    <mergeCell ref="A35:F35"/>
    <mergeCell ref="A40:F40"/>
    <mergeCell ref="A55:F55"/>
    <mergeCell ref="A60:F60"/>
    <mergeCell ref="A70:F70"/>
    <mergeCell ref="A80:F80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61E7-3F7B-6D45-92B7-4BD24622E934}">
  <dimension ref="A3:I147"/>
  <sheetViews>
    <sheetView topLeftCell="A42" zoomScale="91" workbookViewId="0">
      <selection activeCell="A102" sqref="A102"/>
    </sheetView>
  </sheetViews>
  <sheetFormatPr baseColWidth="10" defaultColWidth="11" defaultRowHeight="16"/>
  <cols>
    <col min="1" max="1" width="15" customWidth="1"/>
    <col min="5" max="5" width="13.5" customWidth="1"/>
  </cols>
  <sheetData>
    <row r="3" spans="1:6">
      <c r="A3" s="180" t="s">
        <v>235</v>
      </c>
      <c r="B3" s="181"/>
      <c r="C3" s="181"/>
      <c r="D3" s="181"/>
      <c r="E3" s="181"/>
      <c r="F3" s="182"/>
    </row>
    <row r="4" spans="1:6">
      <c r="A4" s="18"/>
      <c r="B4" s="19" t="s">
        <v>108</v>
      </c>
      <c r="C4" s="19" t="s">
        <v>110</v>
      </c>
      <c r="D4" s="19" t="s">
        <v>111</v>
      </c>
      <c r="E4" s="19" t="s">
        <v>109</v>
      </c>
      <c r="F4" s="20"/>
    </row>
    <row r="5" spans="1:6">
      <c r="A5" t="s">
        <v>36</v>
      </c>
      <c r="B5" s="7">
        <v>0.441</v>
      </c>
      <c r="C5" s="7">
        <v>0.33400000000000002</v>
      </c>
      <c r="D5" s="7">
        <v>0.54400000000000004</v>
      </c>
      <c r="E5" s="7">
        <v>0.373</v>
      </c>
    </row>
    <row r="6" spans="1:6">
      <c r="A6" t="s">
        <v>37</v>
      </c>
      <c r="B6" s="7">
        <v>0.45400000000000001</v>
      </c>
      <c r="C6" s="7">
        <v>0.36399999999999999</v>
      </c>
      <c r="D6" s="7">
        <v>0.54300000000000004</v>
      </c>
      <c r="E6" s="7">
        <v>0.38500000000000001</v>
      </c>
    </row>
    <row r="7" spans="1:6">
      <c r="A7" t="s">
        <v>38</v>
      </c>
      <c r="B7" s="7">
        <v>0.30199999999999999</v>
      </c>
      <c r="C7" s="7">
        <v>0.35799999999999998</v>
      </c>
      <c r="D7" s="7">
        <v>0.248</v>
      </c>
      <c r="E7" s="7">
        <v>0.34599999999999997</v>
      </c>
    </row>
    <row r="8" spans="1:6">
      <c r="A8" t="s">
        <v>39</v>
      </c>
      <c r="B8" s="7">
        <v>0.71299999999999997</v>
      </c>
      <c r="C8" s="7">
        <v>0.624</v>
      </c>
      <c r="D8" s="7">
        <v>0.79800000000000004</v>
      </c>
      <c r="E8" s="7">
        <v>0.76100000000000001</v>
      </c>
    </row>
    <row r="9" spans="1:6">
      <c r="B9" s="7"/>
      <c r="C9" s="7"/>
      <c r="D9" s="7"/>
      <c r="E9" s="7"/>
    </row>
    <row r="10" spans="1:6">
      <c r="A10" s="180" t="s">
        <v>238</v>
      </c>
      <c r="B10" s="181"/>
      <c r="C10" s="181"/>
      <c r="D10" s="181"/>
      <c r="E10" s="181"/>
      <c r="F10" s="182"/>
    </row>
    <row r="11" spans="1:6">
      <c r="A11" s="147"/>
      <c r="B11" s="185" t="s">
        <v>108</v>
      </c>
      <c r="C11" s="185"/>
      <c r="D11" s="185" t="s">
        <v>239</v>
      </c>
      <c r="E11" s="185"/>
      <c r="F11" s="147"/>
    </row>
    <row r="12" spans="1:6">
      <c r="A12" s="18"/>
      <c r="B12" s="19" t="s">
        <v>236</v>
      </c>
      <c r="C12" s="19" t="s">
        <v>237</v>
      </c>
      <c r="D12" s="19" t="s">
        <v>236</v>
      </c>
      <c r="E12" s="19" t="s">
        <v>237</v>
      </c>
      <c r="F12" s="20"/>
    </row>
    <row r="13" spans="1:6">
      <c r="A13" t="s">
        <v>36</v>
      </c>
      <c r="B13" s="7">
        <v>0.48099999999999998</v>
      </c>
      <c r="C13" s="7">
        <v>0.39200000000000002</v>
      </c>
      <c r="D13" s="7">
        <v>0.41199999999999998</v>
      </c>
      <c r="E13" s="7">
        <v>0.34</v>
      </c>
    </row>
    <row r="14" spans="1:6">
      <c r="A14" t="s">
        <v>37</v>
      </c>
      <c r="B14" s="7">
        <v>0.51100000000000001</v>
      </c>
      <c r="C14" s="7">
        <v>0.38600000000000001</v>
      </c>
      <c r="D14" s="7">
        <v>0.44800000000000001</v>
      </c>
      <c r="E14" s="7">
        <v>0.32900000000000001</v>
      </c>
    </row>
    <row r="15" spans="1:6">
      <c r="A15" t="s">
        <v>38</v>
      </c>
      <c r="B15" s="7">
        <v>0.30399999999999999</v>
      </c>
      <c r="C15" s="7">
        <v>0.30099999999999999</v>
      </c>
      <c r="D15" s="7">
        <v>0.44700000000000001</v>
      </c>
      <c r="E15" s="7">
        <v>0.25800000000000001</v>
      </c>
    </row>
    <row r="16" spans="1:6">
      <c r="A16" t="s">
        <v>39</v>
      </c>
      <c r="B16" s="7">
        <v>0.70399999999999996</v>
      </c>
      <c r="C16" s="7">
        <v>0.72399999999999998</v>
      </c>
      <c r="D16" s="7">
        <v>0.77200000000000002</v>
      </c>
      <c r="E16" s="7">
        <v>0.752</v>
      </c>
    </row>
    <row r="18" spans="1:9">
      <c r="F18" s="149"/>
    </row>
    <row r="19" spans="1:9">
      <c r="A19" s="186" t="s">
        <v>123</v>
      </c>
      <c r="B19" s="186"/>
      <c r="C19" s="186"/>
      <c r="D19" s="186"/>
      <c r="E19" s="186"/>
      <c r="F19" s="186"/>
    </row>
    <row r="21" spans="1:9">
      <c r="A21" s="7"/>
      <c r="B21" s="7" t="s">
        <v>122</v>
      </c>
      <c r="C21" s="7" t="s">
        <v>108</v>
      </c>
      <c r="D21" s="7" t="s">
        <v>245</v>
      </c>
      <c r="E21" s="7" t="s">
        <v>246</v>
      </c>
      <c r="F21" s="7" t="s">
        <v>239</v>
      </c>
      <c r="G21" s="7" t="s">
        <v>101</v>
      </c>
      <c r="H21" s="7"/>
    </row>
    <row r="22" spans="1:9">
      <c r="A22" s="7" t="s">
        <v>240</v>
      </c>
      <c r="B22" s="7">
        <v>0.17399999999999999</v>
      </c>
      <c r="C22" s="7">
        <v>6.3E-2</v>
      </c>
      <c r="D22" s="7">
        <v>6.3E-2</v>
      </c>
      <c r="E22" s="7">
        <v>6.2E-2</v>
      </c>
      <c r="F22" s="7">
        <v>1.1000000000000001E-2</v>
      </c>
      <c r="G22" s="7">
        <v>0.13600000000000001</v>
      </c>
      <c r="H22" s="7"/>
    </row>
    <row r="23" spans="1:9">
      <c r="A23" s="7" t="s">
        <v>241</v>
      </c>
      <c r="B23" s="7">
        <v>0.246</v>
      </c>
      <c r="C23" s="7">
        <v>0.23200000000000001</v>
      </c>
      <c r="D23" s="7">
        <v>0.27600000000000002</v>
      </c>
      <c r="E23" s="7">
        <v>0.186</v>
      </c>
      <c r="F23" s="7">
        <v>9.3000000000000013E-2</v>
      </c>
      <c r="G23" s="7">
        <v>0.13900000000000001</v>
      </c>
      <c r="H23" s="7"/>
    </row>
    <row r="24" spans="1:9">
      <c r="A24" s="7" t="s">
        <v>242</v>
      </c>
      <c r="B24" s="7">
        <v>0.27800000000000002</v>
      </c>
      <c r="C24" s="7">
        <v>0.29599999999999999</v>
      </c>
      <c r="D24" s="7">
        <v>0.35899999999999999</v>
      </c>
      <c r="E24" s="7">
        <v>0.23100000000000001</v>
      </c>
      <c r="F24" s="7">
        <v>0.20899999999999999</v>
      </c>
      <c r="G24" s="7">
        <v>0.35099999999999998</v>
      </c>
      <c r="H24" s="7"/>
    </row>
    <row r="25" spans="1:9">
      <c r="A25" s="7" t="s">
        <v>243</v>
      </c>
      <c r="B25" s="7">
        <v>0.222</v>
      </c>
      <c r="C25" s="7">
        <v>0.26900000000000002</v>
      </c>
      <c r="D25" s="7">
        <v>0.18099999999999999</v>
      </c>
      <c r="E25" s="7">
        <v>0.36099999999999999</v>
      </c>
      <c r="F25" s="7">
        <v>0.34899999999999998</v>
      </c>
      <c r="G25" s="7">
        <v>0.14599999999999999</v>
      </c>
      <c r="H25" s="7"/>
    </row>
    <row r="26" spans="1:9">
      <c r="A26" s="7" t="s">
        <v>244</v>
      </c>
      <c r="B26" s="7">
        <v>8.1000000000000003E-2</v>
      </c>
      <c r="C26" s="7">
        <v>0.14000000000000001</v>
      </c>
      <c r="D26" s="7">
        <v>0.121</v>
      </c>
      <c r="E26" s="7">
        <v>0.16</v>
      </c>
      <c r="F26" s="7">
        <v>0.33799999999999997</v>
      </c>
      <c r="G26" s="7">
        <v>0.22800000000000001</v>
      </c>
      <c r="H26" s="7"/>
    </row>
    <row r="27" spans="1:9">
      <c r="A27" s="7"/>
      <c r="B27" s="7"/>
      <c r="C27" s="7"/>
      <c r="D27" s="7"/>
      <c r="E27" s="7"/>
      <c r="F27" s="7"/>
      <c r="G27" s="7"/>
      <c r="H27" s="7"/>
    </row>
    <row r="28" spans="1:9">
      <c r="A28" s="7"/>
      <c r="B28" s="7"/>
      <c r="C28" s="7"/>
      <c r="D28" s="7"/>
      <c r="E28" s="7"/>
      <c r="F28" s="7"/>
      <c r="G28" s="7"/>
      <c r="H28" s="7"/>
    </row>
    <row r="29" spans="1:9">
      <c r="A29" s="186" t="s">
        <v>247</v>
      </c>
      <c r="B29" s="186"/>
      <c r="C29" s="186"/>
      <c r="D29" s="186"/>
      <c r="E29" s="186"/>
      <c r="F29" s="186"/>
      <c r="G29" s="152"/>
      <c r="H29" s="150"/>
      <c r="I29" s="150"/>
    </row>
    <row r="30" spans="1:9">
      <c r="B30" s="151"/>
      <c r="C30" s="152"/>
      <c r="D30" s="152"/>
      <c r="E30" s="150"/>
      <c r="F30" s="150"/>
    </row>
    <row r="31" spans="1:9">
      <c r="B31" t="s">
        <v>236</v>
      </c>
      <c r="C31" t="s">
        <v>237</v>
      </c>
    </row>
    <row r="32" spans="1:9">
      <c r="A32" s="7" t="s">
        <v>240</v>
      </c>
      <c r="B32" s="153">
        <v>0.11700000000000001</v>
      </c>
      <c r="C32" s="153">
        <v>0.115</v>
      </c>
      <c r="D32" s="148"/>
      <c r="E32" s="148"/>
      <c r="F32" s="149"/>
    </row>
    <row r="33" spans="1:6">
      <c r="A33" s="7" t="s">
        <v>241</v>
      </c>
      <c r="B33" s="7">
        <v>0.17299999999999999</v>
      </c>
      <c r="C33" s="7">
        <v>0.16900000000000001</v>
      </c>
    </row>
    <row r="34" spans="1:6">
      <c r="A34" s="7" t="s">
        <v>242</v>
      </c>
      <c r="B34" s="7">
        <v>0.21099999999999999</v>
      </c>
      <c r="C34" s="7">
        <v>0.21</v>
      </c>
    </row>
    <row r="35" spans="1:6">
      <c r="A35" s="7" t="s">
        <v>243</v>
      </c>
      <c r="B35" s="7">
        <v>0.246</v>
      </c>
      <c r="C35" s="7">
        <v>0.249</v>
      </c>
    </row>
    <row r="36" spans="1:6">
      <c r="A36" s="7" t="s">
        <v>244</v>
      </c>
      <c r="B36" s="7">
        <v>0.253</v>
      </c>
      <c r="C36" s="7">
        <v>0.25700000000000001</v>
      </c>
    </row>
    <row r="38" spans="1:6">
      <c r="B38" s="141"/>
      <c r="C38" s="141"/>
    </row>
    <row r="39" spans="1:6">
      <c r="A39" s="186" t="s">
        <v>261</v>
      </c>
      <c r="B39" s="186"/>
      <c r="C39" s="186"/>
      <c r="D39" s="186"/>
      <c r="E39" s="186"/>
      <c r="F39" s="186"/>
    </row>
    <row r="41" spans="1:6">
      <c r="A41" s="136"/>
      <c r="B41" s="7" t="s">
        <v>122</v>
      </c>
      <c r="C41" s="7" t="s">
        <v>108</v>
      </c>
      <c r="D41" s="7" t="s">
        <v>239</v>
      </c>
      <c r="E41" s="7" t="s">
        <v>101</v>
      </c>
    </row>
    <row r="42" spans="1:6">
      <c r="A42" t="s">
        <v>248</v>
      </c>
      <c r="B42" s="15">
        <v>0.112</v>
      </c>
      <c r="C42" s="7">
        <v>0.112</v>
      </c>
      <c r="D42" s="7">
        <v>0.11899999999999999</v>
      </c>
    </row>
    <row r="43" spans="1:6">
      <c r="A43" t="s">
        <v>249</v>
      </c>
      <c r="B43" s="15">
        <v>8.7999999999999995E-2</v>
      </c>
      <c r="C43" s="7">
        <v>4.3999999999999997E-2</v>
      </c>
      <c r="D43" s="7">
        <v>0.106</v>
      </c>
    </row>
    <row r="44" spans="1:6">
      <c r="A44" t="s">
        <v>250</v>
      </c>
      <c r="B44" s="15">
        <v>0.122</v>
      </c>
      <c r="C44" s="7">
        <v>3.9E-2</v>
      </c>
      <c r="D44" s="7">
        <v>9.7000000000000003E-2</v>
      </c>
    </row>
    <row r="45" spans="1:6">
      <c r="A45" t="s">
        <v>251</v>
      </c>
      <c r="B45" s="15">
        <v>9.2999999999999999E-2</v>
      </c>
      <c r="C45" s="7">
        <v>8.2000000000000003E-2</v>
      </c>
      <c r="D45" s="7">
        <v>9.0999999999999998E-2</v>
      </c>
    </row>
    <row r="46" spans="1:6">
      <c r="A46" t="s">
        <v>252</v>
      </c>
      <c r="B46" s="15">
        <v>9.2999999999999999E-2</v>
      </c>
      <c r="C46" s="7">
        <v>5.5E-2</v>
      </c>
      <c r="D46" s="7">
        <v>7.0000000000000007E-2</v>
      </c>
    </row>
    <row r="47" spans="1:6">
      <c r="A47" t="s">
        <v>253</v>
      </c>
      <c r="B47" s="15">
        <v>8.3000000000000004E-2</v>
      </c>
      <c r="C47" s="7">
        <v>4.5999999999999999E-2</v>
      </c>
      <c r="D47" s="7">
        <v>0.10400000000000001</v>
      </c>
    </row>
    <row r="48" spans="1:6">
      <c r="A48" t="s">
        <v>254</v>
      </c>
      <c r="B48" s="15">
        <v>0.153</v>
      </c>
      <c r="C48" s="7">
        <v>0.10299999999999999</v>
      </c>
      <c r="D48" s="7">
        <v>4.9000000000000002E-2</v>
      </c>
    </row>
    <row r="49" spans="1:6">
      <c r="A49" t="s">
        <v>255</v>
      </c>
      <c r="B49" s="15">
        <v>7.0999999999999994E-2</v>
      </c>
      <c r="C49" s="7">
        <v>8.5999999999999993E-2</v>
      </c>
      <c r="D49" s="7">
        <v>0.10400000000000001</v>
      </c>
    </row>
    <row r="51" spans="1:6">
      <c r="A51" s="184" t="s">
        <v>262</v>
      </c>
      <c r="B51" s="184"/>
      <c r="C51" s="184"/>
      <c r="D51" s="184"/>
      <c r="E51" s="184"/>
      <c r="F51" s="184"/>
    </row>
    <row r="53" spans="1:6">
      <c r="A53" s="136"/>
      <c r="B53" s="136" t="s">
        <v>108</v>
      </c>
      <c r="C53" t="s">
        <v>266</v>
      </c>
    </row>
    <row r="54" spans="1:6">
      <c r="A54" t="s">
        <v>256</v>
      </c>
      <c r="B54" s="7">
        <v>0.14099999999999999</v>
      </c>
      <c r="C54" s="7">
        <v>0.20200000000000001</v>
      </c>
    </row>
    <row r="55" spans="1:6">
      <c r="A55" t="s">
        <v>257</v>
      </c>
      <c r="B55" s="7">
        <v>0.17199999999999999</v>
      </c>
      <c r="C55" s="7">
        <v>0.214</v>
      </c>
    </row>
    <row r="56" spans="1:6">
      <c r="A56" t="s">
        <v>258</v>
      </c>
      <c r="B56" s="7">
        <v>0.27300000000000002</v>
      </c>
      <c r="C56" s="7">
        <v>0.224</v>
      </c>
    </row>
    <row r="57" spans="1:6">
      <c r="A57" t="s">
        <v>259</v>
      </c>
      <c r="B57" s="7">
        <v>0.17699999999999999</v>
      </c>
      <c r="C57" s="7">
        <v>0.13300000000000001</v>
      </c>
    </row>
    <row r="58" spans="1:6">
      <c r="A58" t="s">
        <v>260</v>
      </c>
      <c r="B58" s="7">
        <v>0.23699999999999999</v>
      </c>
      <c r="C58" s="7">
        <v>0.22700000000000001</v>
      </c>
    </row>
    <row r="61" spans="1:6">
      <c r="A61" s="188" t="s">
        <v>263</v>
      </c>
      <c r="B61" s="188"/>
      <c r="C61" s="188"/>
      <c r="D61" s="188"/>
      <c r="E61" s="188"/>
      <c r="F61" s="188"/>
    </row>
    <row r="62" spans="1:6">
      <c r="B62" s="189" t="s">
        <v>108</v>
      </c>
      <c r="C62" s="189"/>
      <c r="D62" s="189" t="s">
        <v>266</v>
      </c>
      <c r="E62" s="189"/>
    </row>
    <row r="63" spans="1:6">
      <c r="B63" s="52" t="s">
        <v>236</v>
      </c>
      <c r="C63" s="52" t="s">
        <v>237</v>
      </c>
      <c r="D63" s="136" t="s">
        <v>236</v>
      </c>
      <c r="E63" s="136" t="s">
        <v>237</v>
      </c>
      <c r="F63" s="136"/>
    </row>
    <row r="64" spans="1:6">
      <c r="A64" t="s">
        <v>264</v>
      </c>
      <c r="B64">
        <v>8.4</v>
      </c>
      <c r="C64">
        <v>6.4</v>
      </c>
      <c r="D64">
        <v>9.6</v>
      </c>
      <c r="E64">
        <v>11.9</v>
      </c>
    </row>
    <row r="65" spans="1:6">
      <c r="A65" t="s">
        <v>265</v>
      </c>
      <c r="B65">
        <v>5.6</v>
      </c>
      <c r="C65">
        <v>5.0999999999999996</v>
      </c>
      <c r="D65">
        <v>7.4</v>
      </c>
      <c r="E65">
        <v>8.1</v>
      </c>
    </row>
    <row r="69" spans="1:6">
      <c r="A69" s="187" t="s">
        <v>57</v>
      </c>
      <c r="C69" s="7" t="s">
        <v>122</v>
      </c>
      <c r="D69" s="7" t="s">
        <v>108</v>
      </c>
      <c r="E69" s="7" t="s">
        <v>239</v>
      </c>
      <c r="F69" s="7" t="s">
        <v>101</v>
      </c>
    </row>
    <row r="70" spans="1:6">
      <c r="A70" s="187"/>
      <c r="B70" t="s">
        <v>123</v>
      </c>
      <c r="C70">
        <v>37.799999999999997</v>
      </c>
      <c r="D70">
        <v>41</v>
      </c>
      <c r="E70">
        <v>49</v>
      </c>
      <c r="F70">
        <v>41</v>
      </c>
    </row>
    <row r="71" spans="1:6">
      <c r="A71" s="187"/>
      <c r="B71" t="s">
        <v>267</v>
      </c>
      <c r="C71" t="s">
        <v>236</v>
      </c>
      <c r="D71" t="s">
        <v>236</v>
      </c>
      <c r="E71" t="s">
        <v>237</v>
      </c>
      <c r="F71" t="s">
        <v>236</v>
      </c>
    </row>
    <row r="72" spans="1:6">
      <c r="A72" s="187"/>
      <c r="B72" t="s">
        <v>268</v>
      </c>
      <c r="C72" t="s">
        <v>275</v>
      </c>
      <c r="D72" t="s">
        <v>275</v>
      </c>
      <c r="E72" t="s">
        <v>275</v>
      </c>
      <c r="F72" t="s">
        <v>276</v>
      </c>
    </row>
    <row r="73" spans="1:6">
      <c r="A73" s="187"/>
      <c r="B73" t="s">
        <v>269</v>
      </c>
      <c r="C73" t="s">
        <v>272</v>
      </c>
      <c r="D73" t="s">
        <v>274</v>
      </c>
      <c r="E73" t="s">
        <v>274</v>
      </c>
      <c r="F73" t="s">
        <v>274</v>
      </c>
    </row>
    <row r="74" spans="1:6">
      <c r="A74" s="187"/>
      <c r="B74" t="s">
        <v>270</v>
      </c>
      <c r="C74" t="s">
        <v>271</v>
      </c>
      <c r="D74" t="s">
        <v>271</v>
      </c>
      <c r="E74" t="s">
        <v>271</v>
      </c>
      <c r="F74" t="s">
        <v>271</v>
      </c>
    </row>
    <row r="75" spans="1:6">
      <c r="A75" s="187"/>
      <c r="B75" t="s">
        <v>273</v>
      </c>
      <c r="C75" t="s">
        <v>265</v>
      </c>
      <c r="D75" t="s">
        <v>265</v>
      </c>
      <c r="E75" t="s">
        <v>265</v>
      </c>
      <c r="F75" t="s">
        <v>265</v>
      </c>
    </row>
    <row r="77" spans="1:6">
      <c r="A77" s="187" t="s">
        <v>73</v>
      </c>
      <c r="C77" s="7" t="s">
        <v>122</v>
      </c>
      <c r="D77" s="7" t="s">
        <v>108</v>
      </c>
      <c r="E77" s="7" t="s">
        <v>239</v>
      </c>
      <c r="F77" s="7" t="s">
        <v>101</v>
      </c>
    </row>
    <row r="78" spans="1:6" ht="16" customHeight="1">
      <c r="A78" s="187"/>
      <c r="B78" t="s">
        <v>123</v>
      </c>
      <c r="C78">
        <v>38</v>
      </c>
      <c r="D78">
        <v>43</v>
      </c>
      <c r="E78">
        <v>50</v>
      </c>
      <c r="F78">
        <v>43</v>
      </c>
    </row>
    <row r="79" spans="1:6">
      <c r="A79" s="187"/>
      <c r="B79" t="s">
        <v>267</v>
      </c>
      <c r="C79" t="s">
        <v>236</v>
      </c>
      <c r="D79" t="s">
        <v>236</v>
      </c>
      <c r="E79" t="s">
        <v>237</v>
      </c>
      <c r="F79" t="s">
        <v>236</v>
      </c>
    </row>
    <row r="80" spans="1:6">
      <c r="A80" s="187"/>
      <c r="B80" t="s">
        <v>268</v>
      </c>
      <c r="C80" t="s">
        <v>280</v>
      </c>
      <c r="D80" t="s">
        <v>283</v>
      </c>
      <c r="E80" t="s">
        <v>279</v>
      </c>
      <c r="F80" t="s">
        <v>279</v>
      </c>
    </row>
    <row r="81" spans="1:6">
      <c r="A81" s="187"/>
      <c r="B81" t="s">
        <v>269</v>
      </c>
      <c r="C81" t="s">
        <v>274</v>
      </c>
      <c r="D81" t="s">
        <v>274</v>
      </c>
      <c r="E81" t="s">
        <v>274</v>
      </c>
      <c r="F81" t="s">
        <v>274</v>
      </c>
    </row>
    <row r="82" spans="1:6">
      <c r="A82" s="187"/>
      <c r="B82" t="s">
        <v>270</v>
      </c>
      <c r="C82" t="s">
        <v>285</v>
      </c>
      <c r="D82" t="s">
        <v>271</v>
      </c>
      <c r="E82" t="s">
        <v>271</v>
      </c>
      <c r="F82" t="s">
        <v>278</v>
      </c>
    </row>
    <row r="83" spans="1:6">
      <c r="A83" s="187"/>
      <c r="C83" t="s">
        <v>265</v>
      </c>
      <c r="D83" t="s">
        <v>265</v>
      </c>
      <c r="E83" t="s">
        <v>265</v>
      </c>
      <c r="F83" t="s">
        <v>265</v>
      </c>
    </row>
    <row r="84" spans="1:6">
      <c r="A84" s="154"/>
    </row>
    <row r="85" spans="1:6">
      <c r="C85" s="7" t="s">
        <v>122</v>
      </c>
      <c r="D85" s="7" t="s">
        <v>108</v>
      </c>
      <c r="E85" s="7" t="s">
        <v>239</v>
      </c>
      <c r="F85" s="7" t="s">
        <v>101</v>
      </c>
    </row>
    <row r="86" spans="1:6">
      <c r="A86" s="187" t="s">
        <v>74</v>
      </c>
      <c r="B86" t="s">
        <v>123</v>
      </c>
      <c r="C86">
        <v>38</v>
      </c>
      <c r="D86">
        <v>40</v>
      </c>
      <c r="E86">
        <v>46</v>
      </c>
      <c r="F86">
        <v>39</v>
      </c>
    </row>
    <row r="87" spans="1:6">
      <c r="A87" s="187"/>
      <c r="B87" t="s">
        <v>267</v>
      </c>
      <c r="C87" t="s">
        <v>237</v>
      </c>
      <c r="D87" t="s">
        <v>236</v>
      </c>
      <c r="E87" t="s">
        <v>236</v>
      </c>
      <c r="F87" t="s">
        <v>236</v>
      </c>
    </row>
    <row r="88" spans="1:6">
      <c r="A88" s="187"/>
      <c r="B88" t="s">
        <v>268</v>
      </c>
      <c r="C88" t="s">
        <v>284</v>
      </c>
      <c r="D88" t="s">
        <v>284</v>
      </c>
      <c r="E88" t="s">
        <v>280</v>
      </c>
      <c r="F88" t="s">
        <v>279</v>
      </c>
    </row>
    <row r="89" spans="1:6">
      <c r="A89" s="187"/>
      <c r="B89" t="s">
        <v>269</v>
      </c>
      <c r="C89" t="s">
        <v>286</v>
      </c>
      <c r="D89" t="s">
        <v>274</v>
      </c>
      <c r="E89" t="s">
        <v>281</v>
      </c>
      <c r="F89" t="s">
        <v>274</v>
      </c>
    </row>
    <row r="90" spans="1:6">
      <c r="A90" s="187"/>
      <c r="B90" t="s">
        <v>270</v>
      </c>
      <c r="C90" t="s">
        <v>282</v>
      </c>
      <c r="D90" t="s">
        <v>282</v>
      </c>
      <c r="E90" t="s">
        <v>277</v>
      </c>
      <c r="F90" t="s">
        <v>277</v>
      </c>
    </row>
    <row r="91" spans="1:6">
      <c r="A91" s="187"/>
      <c r="C91" t="s">
        <v>265</v>
      </c>
      <c r="D91" t="s">
        <v>265</v>
      </c>
      <c r="E91" t="s">
        <v>264</v>
      </c>
      <c r="F91" t="s">
        <v>265</v>
      </c>
    </row>
    <row r="92" spans="1:6">
      <c r="A92" s="187"/>
    </row>
    <row r="96" spans="1:6" ht="19">
      <c r="A96" s="155" t="s">
        <v>287</v>
      </c>
    </row>
    <row r="98" spans="1:4">
      <c r="A98" s="136" t="s">
        <v>288</v>
      </c>
      <c r="B98" s="136" t="s">
        <v>51</v>
      </c>
      <c r="C98" s="136" t="s">
        <v>52</v>
      </c>
      <c r="D98" s="136" t="s">
        <v>40</v>
      </c>
    </row>
    <row r="99" spans="1:4">
      <c r="A99" t="s">
        <v>341</v>
      </c>
      <c r="B99" s="7">
        <v>0.27800000000000002</v>
      </c>
      <c r="C99" s="7">
        <v>0.313</v>
      </c>
      <c r="D99" s="141">
        <v>0.29799999999999999</v>
      </c>
    </row>
    <row r="100" spans="1:4">
      <c r="A100" t="s">
        <v>342</v>
      </c>
      <c r="B100" s="7">
        <v>0.41699999999999998</v>
      </c>
      <c r="C100" s="7">
        <v>0.35399999999999998</v>
      </c>
      <c r="D100" s="141">
        <v>0.38100000000000001</v>
      </c>
    </row>
    <row r="101" spans="1:4">
      <c r="A101" t="s">
        <v>343</v>
      </c>
      <c r="B101" s="7">
        <v>0.30599999999999999</v>
      </c>
      <c r="C101" s="7">
        <v>0.33300000000000002</v>
      </c>
      <c r="D101" s="141">
        <v>0.32100000000000001</v>
      </c>
    </row>
    <row r="145" spans="5:5">
      <c r="E145" s="136"/>
    </row>
    <row r="146" spans="5:5">
      <c r="E146" s="141"/>
    </row>
    <row r="147" spans="5:5">
      <c r="E147" s="141"/>
    </row>
  </sheetData>
  <mergeCells count="14">
    <mergeCell ref="A86:A92"/>
    <mergeCell ref="A61:F61"/>
    <mergeCell ref="B62:C62"/>
    <mergeCell ref="D62:E62"/>
    <mergeCell ref="A69:A75"/>
    <mergeCell ref="A77:A83"/>
    <mergeCell ref="A51:F51"/>
    <mergeCell ref="A3:F3"/>
    <mergeCell ref="A10:F10"/>
    <mergeCell ref="B11:C11"/>
    <mergeCell ref="D11:E11"/>
    <mergeCell ref="A19:F19"/>
    <mergeCell ref="A29:F29"/>
    <mergeCell ref="A39:F39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A813-CC2F-5748-AF29-EB2129735E50}">
  <dimension ref="A1:I158"/>
  <sheetViews>
    <sheetView topLeftCell="A88" zoomScale="61" workbookViewId="0">
      <selection activeCell="E80" sqref="E80"/>
    </sheetView>
  </sheetViews>
  <sheetFormatPr baseColWidth="10" defaultColWidth="11" defaultRowHeight="16"/>
  <cols>
    <col min="1" max="1" width="12.1640625" bestFit="1" customWidth="1"/>
    <col min="2" max="4" width="11.83203125" bestFit="1" customWidth="1"/>
    <col min="6" max="6" width="11" bestFit="1" customWidth="1"/>
  </cols>
  <sheetData>
    <row r="1" spans="1:9">
      <c r="A1" s="190"/>
      <c r="B1" s="190"/>
      <c r="C1" s="190"/>
      <c r="D1" s="190"/>
      <c r="E1" s="190"/>
      <c r="F1" s="190"/>
    </row>
    <row r="2" spans="1:9" ht="19">
      <c r="A2" s="160" t="s">
        <v>289</v>
      </c>
      <c r="B2" s="7"/>
      <c r="C2" s="7"/>
      <c r="D2" s="7"/>
      <c r="E2" s="7"/>
      <c r="F2" s="7"/>
    </row>
    <row r="3" spans="1:9" ht="24">
      <c r="A3" s="7"/>
      <c r="B3" s="7"/>
      <c r="C3" s="7"/>
      <c r="D3" s="7"/>
      <c r="E3" s="7"/>
      <c r="F3" s="7"/>
      <c r="H3" s="159"/>
    </row>
    <row r="4" spans="1:9">
      <c r="A4" s="161" t="s">
        <v>290</v>
      </c>
      <c r="B4" s="161" t="s">
        <v>51</v>
      </c>
      <c r="C4" s="161" t="s">
        <v>52</v>
      </c>
      <c r="D4" s="161" t="s">
        <v>387</v>
      </c>
      <c r="E4" s="161" t="s">
        <v>290</v>
      </c>
      <c r="F4" s="161" t="s">
        <v>388</v>
      </c>
      <c r="G4" s="136" t="s">
        <v>389</v>
      </c>
    </row>
    <row r="5" spans="1:9">
      <c r="A5" s="7" t="s">
        <v>291</v>
      </c>
      <c r="B5" s="7">
        <v>0.25900000000000001</v>
      </c>
      <c r="C5" s="7">
        <v>0.216</v>
      </c>
      <c r="D5" s="7">
        <v>0.23200000000000001</v>
      </c>
      <c r="E5" s="7" t="s">
        <v>390</v>
      </c>
      <c r="F5" s="7">
        <v>0.219</v>
      </c>
      <c r="G5" s="7">
        <v>0.249</v>
      </c>
      <c r="H5" s="136"/>
      <c r="I5" s="136"/>
    </row>
    <row r="6" spans="1:9">
      <c r="A6" s="7" t="s">
        <v>292</v>
      </c>
      <c r="B6" s="7">
        <v>0.74099999999999999</v>
      </c>
      <c r="C6" s="7">
        <v>0.78400000000000003</v>
      </c>
      <c r="D6" s="7">
        <v>0.76800000000000002</v>
      </c>
      <c r="E6" s="7" t="s">
        <v>391</v>
      </c>
      <c r="F6" s="7">
        <v>0.78100000000000003</v>
      </c>
      <c r="G6" s="7">
        <v>0.751</v>
      </c>
      <c r="I6" s="141"/>
    </row>
    <row r="7" spans="1:9">
      <c r="A7" s="7"/>
      <c r="B7" s="7"/>
      <c r="C7" s="7"/>
      <c r="D7" s="7"/>
      <c r="E7" s="7"/>
      <c r="F7" s="7"/>
      <c r="I7" s="141"/>
    </row>
    <row r="8" spans="1:9">
      <c r="A8" s="7"/>
      <c r="B8" s="7"/>
      <c r="C8" s="7"/>
      <c r="D8" s="7"/>
      <c r="E8" s="7"/>
      <c r="F8" s="7"/>
    </row>
    <row r="9" spans="1:9" ht="19">
      <c r="A9" s="160" t="s">
        <v>293</v>
      </c>
      <c r="B9" s="7"/>
      <c r="C9" s="7"/>
      <c r="D9" s="7"/>
      <c r="E9" s="7"/>
      <c r="F9" s="7"/>
    </row>
    <row r="10" spans="1:9" ht="24">
      <c r="A10" s="7"/>
      <c r="B10" s="7"/>
      <c r="C10" s="7"/>
      <c r="D10" s="7"/>
      <c r="E10" s="7"/>
      <c r="F10" s="7"/>
      <c r="H10" s="159"/>
    </row>
    <row r="11" spans="1:9">
      <c r="A11" s="161" t="s">
        <v>294</v>
      </c>
      <c r="B11" s="161" t="s">
        <v>51</v>
      </c>
      <c r="C11" s="161" t="s">
        <v>52</v>
      </c>
      <c r="D11" s="161" t="s">
        <v>387</v>
      </c>
      <c r="E11" s="7"/>
      <c r="F11" s="7"/>
    </row>
    <row r="12" spans="1:9">
      <c r="A12" s="7" t="s">
        <v>295</v>
      </c>
      <c r="B12" s="7">
        <v>0.60750000000000004</v>
      </c>
      <c r="C12" s="7">
        <v>0.596858</v>
      </c>
      <c r="D12" s="7">
        <v>0.59830000000000005</v>
      </c>
      <c r="E12" s="7"/>
      <c r="F12" s="7"/>
      <c r="H12" s="136"/>
      <c r="I12" s="136"/>
    </row>
    <row r="13" spans="1:9">
      <c r="A13" s="7" t="s">
        <v>296</v>
      </c>
      <c r="B13" s="7">
        <v>0.2445</v>
      </c>
      <c r="C13" s="7">
        <v>6.0010000000000001E-2</v>
      </c>
      <c r="D13" s="7">
        <v>0.12790000000000001</v>
      </c>
      <c r="E13" s="7"/>
      <c r="F13" s="7"/>
    </row>
    <row r="14" spans="1:9">
      <c r="A14" s="7" t="s">
        <v>297</v>
      </c>
      <c r="B14" s="7">
        <v>4.8217000000000003E-2</v>
      </c>
      <c r="C14" s="7">
        <v>0.120058</v>
      </c>
      <c r="D14" s="7">
        <v>9.3600000000000003E-2</v>
      </c>
      <c r="E14" s="7"/>
      <c r="F14" s="7"/>
    </row>
    <row r="15" spans="1:9">
      <c r="A15" s="7" t="s">
        <v>298</v>
      </c>
      <c r="B15" s="7">
        <v>8.6431999999999995E-2</v>
      </c>
      <c r="C15" s="7">
        <v>0.114208</v>
      </c>
      <c r="D15" s="7">
        <v>0.104</v>
      </c>
      <c r="E15" s="7"/>
      <c r="F15" s="7"/>
    </row>
    <row r="16" spans="1:9">
      <c r="A16" s="7" t="s">
        <v>299</v>
      </c>
      <c r="B16" s="7">
        <v>1.9386E-2</v>
      </c>
      <c r="C16" s="7">
        <v>7.6365000000000002E-2</v>
      </c>
      <c r="D16" s="7">
        <v>5.5399999999999998E-2</v>
      </c>
      <c r="E16" s="7"/>
      <c r="F16" s="7"/>
    </row>
    <row r="17" spans="1:9">
      <c r="A17" s="7"/>
      <c r="B17" s="7"/>
      <c r="C17" s="7"/>
      <c r="D17" s="7"/>
      <c r="E17" s="7"/>
      <c r="F17" s="7"/>
    </row>
    <row r="18" spans="1:9">
      <c r="A18" s="161" t="s">
        <v>300</v>
      </c>
      <c r="B18" s="161" t="s">
        <v>51</v>
      </c>
      <c r="C18" s="161" t="s">
        <v>52</v>
      </c>
      <c r="D18" s="161" t="s">
        <v>40</v>
      </c>
      <c r="E18" s="7"/>
      <c r="F18" s="7"/>
    </row>
    <row r="19" spans="1:9">
      <c r="A19" s="7" t="s">
        <v>301</v>
      </c>
      <c r="B19" s="163">
        <v>62977.224900000001</v>
      </c>
      <c r="C19" s="163">
        <v>77231.828299999994</v>
      </c>
      <c r="D19" s="163">
        <v>71985.570000000007</v>
      </c>
      <c r="E19" s="7"/>
      <c r="F19" s="7"/>
    </row>
    <row r="20" spans="1:9" ht="24">
      <c r="A20" s="7"/>
      <c r="B20" s="7"/>
      <c r="C20" s="7"/>
      <c r="D20" s="7"/>
      <c r="E20" s="7"/>
      <c r="F20" s="7"/>
      <c r="H20" s="159"/>
    </row>
    <row r="21" spans="1:9">
      <c r="A21" s="162" t="s">
        <v>304</v>
      </c>
      <c r="B21" s="7"/>
      <c r="C21" s="7"/>
      <c r="D21" s="7"/>
      <c r="E21" s="7"/>
      <c r="F21" s="7"/>
    </row>
    <row r="22" spans="1:9">
      <c r="A22" s="161" t="s">
        <v>302</v>
      </c>
      <c r="B22" s="161" t="s">
        <v>51</v>
      </c>
      <c r="C22" s="161" t="s">
        <v>52</v>
      </c>
      <c r="D22" s="161" t="s">
        <v>387</v>
      </c>
      <c r="E22" s="7"/>
      <c r="F22" s="7"/>
      <c r="H22" s="136"/>
    </row>
    <row r="23" spans="1:9">
      <c r="A23" s="7">
        <v>2000</v>
      </c>
      <c r="B23" s="7">
        <v>8.2000000000000003E-2</v>
      </c>
      <c r="C23" s="7" t="s">
        <v>303</v>
      </c>
      <c r="D23" s="7">
        <v>0.03</v>
      </c>
      <c r="E23" s="7"/>
      <c r="F23" s="7"/>
    </row>
    <row r="24" spans="1:9">
      <c r="A24" s="7">
        <v>3000</v>
      </c>
      <c r="B24" s="7" t="s">
        <v>303</v>
      </c>
      <c r="C24" s="7">
        <v>7.5999999999999998E-2</v>
      </c>
      <c r="D24" s="7">
        <v>4.8000000000000001E-2</v>
      </c>
      <c r="E24" s="7"/>
      <c r="F24" s="7"/>
    </row>
    <row r="25" spans="1:9">
      <c r="A25" s="7">
        <v>4000</v>
      </c>
      <c r="B25" s="7">
        <v>7.4999999999999997E-2</v>
      </c>
      <c r="C25" s="7" t="s">
        <v>303</v>
      </c>
      <c r="D25" s="7">
        <v>2.8000000000000001E-2</v>
      </c>
      <c r="E25" s="7"/>
      <c r="F25" s="7"/>
    </row>
    <row r="26" spans="1:9" ht="24">
      <c r="A26" s="7">
        <v>5000</v>
      </c>
      <c r="B26" s="7" t="s">
        <v>303</v>
      </c>
      <c r="C26" s="7">
        <v>7.0000000000000007E-2</v>
      </c>
      <c r="D26" s="7">
        <v>4.3999999999999997E-2</v>
      </c>
      <c r="E26" s="7"/>
      <c r="F26" s="7"/>
      <c r="H26" s="159"/>
    </row>
    <row r="27" spans="1:9">
      <c r="A27" s="7">
        <v>10000</v>
      </c>
      <c r="B27" s="7">
        <v>6.7000000000000004E-2</v>
      </c>
      <c r="C27" s="7">
        <v>0.28199999999999997</v>
      </c>
      <c r="D27" s="7">
        <v>0.20300000000000001</v>
      </c>
      <c r="E27" s="7"/>
      <c r="F27" s="7"/>
    </row>
    <row r="28" spans="1:9">
      <c r="A28" s="7">
        <v>20000</v>
      </c>
      <c r="B28" s="7">
        <v>0.22700000000000001</v>
      </c>
      <c r="C28" s="7">
        <v>7.5999999999999998E-2</v>
      </c>
      <c r="D28" s="7">
        <v>0.13200000000000001</v>
      </c>
      <c r="E28" s="7"/>
      <c r="F28" s="7"/>
      <c r="H28" s="136"/>
      <c r="I28" s="136"/>
    </row>
    <row r="29" spans="1:9">
      <c r="A29" s="7">
        <v>25000</v>
      </c>
      <c r="B29" s="7" t="s">
        <v>303</v>
      </c>
      <c r="C29" s="7">
        <v>7.0000000000000007E-2</v>
      </c>
      <c r="D29" s="7">
        <v>4.3999999999999997E-2</v>
      </c>
      <c r="E29" s="7"/>
      <c r="F29" s="7"/>
      <c r="H29" s="156"/>
    </row>
    <row r="30" spans="1:9">
      <c r="A30" s="7">
        <v>30000</v>
      </c>
      <c r="B30" s="7">
        <v>7.0000000000000007E-2</v>
      </c>
      <c r="C30" s="7" t="s">
        <v>303</v>
      </c>
      <c r="D30" s="7">
        <v>2.5999999999999999E-2</v>
      </c>
      <c r="E30" s="7"/>
      <c r="F30" s="7"/>
      <c r="H30" s="156"/>
    </row>
    <row r="31" spans="1:9">
      <c r="A31" s="7">
        <v>47600</v>
      </c>
      <c r="B31" s="7" t="s">
        <v>303</v>
      </c>
      <c r="C31" s="7">
        <v>7.0000000000000007E-2</v>
      </c>
      <c r="D31" s="7">
        <v>4.3999999999999997E-2</v>
      </c>
      <c r="E31" s="7"/>
      <c r="F31" s="7"/>
      <c r="H31" s="156"/>
    </row>
    <row r="32" spans="1:9">
      <c r="A32" s="7">
        <v>50000</v>
      </c>
      <c r="B32" s="7">
        <v>6.5000000000000002E-2</v>
      </c>
      <c r="C32" s="7">
        <v>0.14199999999999999</v>
      </c>
      <c r="D32" s="7">
        <v>0.114</v>
      </c>
      <c r="E32" s="7"/>
      <c r="F32" s="7"/>
      <c r="H32" s="156"/>
    </row>
    <row r="33" spans="1:8">
      <c r="A33" s="7">
        <v>60000</v>
      </c>
      <c r="B33" s="7">
        <v>0.13100000000000001</v>
      </c>
      <c r="C33" s="7" t="s">
        <v>303</v>
      </c>
      <c r="D33" s="7">
        <v>4.8000000000000001E-2</v>
      </c>
      <c r="E33" s="7"/>
      <c r="F33" s="7"/>
      <c r="H33" s="156"/>
    </row>
    <row r="34" spans="1:8">
      <c r="A34" s="7">
        <v>115000</v>
      </c>
      <c r="B34" s="7">
        <v>7.8E-2</v>
      </c>
      <c r="C34" s="7" t="s">
        <v>303</v>
      </c>
      <c r="D34" s="7">
        <v>2.9000000000000001E-2</v>
      </c>
      <c r="E34" s="7"/>
      <c r="F34" s="7"/>
      <c r="H34" s="156"/>
    </row>
    <row r="35" spans="1:8">
      <c r="A35" s="7">
        <v>120000</v>
      </c>
      <c r="B35" s="7">
        <v>7.4999999999999997E-2</v>
      </c>
      <c r="C35" s="7" t="s">
        <v>303</v>
      </c>
      <c r="D35" s="7">
        <v>2.8000000000000001E-2</v>
      </c>
      <c r="E35" s="7"/>
      <c r="F35" s="7"/>
      <c r="H35" s="156"/>
    </row>
    <row r="36" spans="1:8">
      <c r="A36" s="7">
        <v>150000</v>
      </c>
      <c r="B36" s="7">
        <v>6.5000000000000002E-2</v>
      </c>
      <c r="C36" s="7">
        <v>7.3999999999999996E-2</v>
      </c>
      <c r="D36" s="7">
        <v>7.0999999999999994E-2</v>
      </c>
      <c r="E36" s="7"/>
      <c r="F36" s="7"/>
      <c r="H36" s="156"/>
    </row>
    <row r="37" spans="1:8">
      <c r="A37" s="7">
        <v>200000</v>
      </c>
      <c r="B37" s="7" t="s">
        <v>303</v>
      </c>
      <c r="C37" s="7">
        <v>7.0000000000000007E-2</v>
      </c>
      <c r="D37" s="7">
        <v>4.3999999999999997E-2</v>
      </c>
      <c r="E37" s="7"/>
      <c r="F37" s="7"/>
      <c r="H37" s="156"/>
    </row>
    <row r="38" spans="1:8">
      <c r="A38" s="7">
        <v>250000</v>
      </c>
      <c r="B38" s="7">
        <v>6.5000000000000002E-2</v>
      </c>
      <c r="C38" s="7" t="s">
        <v>303</v>
      </c>
      <c r="D38" s="7">
        <v>2.4E-2</v>
      </c>
      <c r="E38" s="7"/>
      <c r="F38" s="7"/>
      <c r="H38" s="156"/>
    </row>
    <row r="39" spans="1:8">
      <c r="A39" s="7">
        <v>500000</v>
      </c>
      <c r="B39" s="7" t="s">
        <v>303</v>
      </c>
      <c r="C39" s="7">
        <v>7.0000000000000007E-2</v>
      </c>
      <c r="D39" s="7">
        <v>4.3999999999999997E-2</v>
      </c>
      <c r="E39" s="7"/>
      <c r="F39" s="7"/>
      <c r="H39" s="156"/>
    </row>
    <row r="40" spans="1:8">
      <c r="A40" s="7"/>
      <c r="B40" s="7"/>
      <c r="C40" s="7"/>
      <c r="D40" s="7"/>
      <c r="E40" s="7"/>
      <c r="F40" s="7"/>
      <c r="H40" s="156"/>
    </row>
    <row r="41" spans="1:8">
      <c r="A41" s="7"/>
      <c r="B41" s="7"/>
      <c r="C41" s="7"/>
      <c r="D41" s="7"/>
      <c r="E41" s="7"/>
      <c r="F41" s="7"/>
      <c r="H41" s="156"/>
    </row>
    <row r="42" spans="1:8" ht="19">
      <c r="A42" s="160"/>
      <c r="B42" s="7"/>
      <c r="C42" s="7"/>
      <c r="D42" s="7"/>
      <c r="E42" s="7"/>
      <c r="F42" s="7"/>
      <c r="H42" s="156"/>
    </row>
    <row r="43" spans="1:8">
      <c r="A43" s="7"/>
      <c r="B43" s="7"/>
      <c r="C43" s="7"/>
      <c r="D43" s="7"/>
      <c r="E43" s="7"/>
      <c r="F43" s="7"/>
      <c r="H43" s="156"/>
    </row>
    <row r="44" spans="1:8" ht="19">
      <c r="A44" s="160" t="s">
        <v>310</v>
      </c>
      <c r="B44" s="7"/>
      <c r="C44" s="7"/>
      <c r="D44" s="7"/>
      <c r="E44" s="7"/>
      <c r="F44" s="7"/>
      <c r="H44" s="156"/>
    </row>
    <row r="45" spans="1:8">
      <c r="A45" s="7"/>
      <c r="B45" s="7"/>
      <c r="C45" s="7"/>
      <c r="D45" s="7"/>
      <c r="E45" s="7"/>
      <c r="F45" s="7"/>
      <c r="H45" s="156"/>
    </row>
    <row r="46" spans="1:8">
      <c r="A46" s="161" t="s">
        <v>311</v>
      </c>
      <c r="B46" s="161" t="s">
        <v>51</v>
      </c>
      <c r="C46" s="161" t="s">
        <v>52</v>
      </c>
      <c r="D46" s="161" t="s">
        <v>40</v>
      </c>
      <c r="E46" s="7"/>
      <c r="F46" s="7"/>
    </row>
    <row r="47" spans="1:8">
      <c r="A47" s="7" t="s">
        <v>305</v>
      </c>
      <c r="B47" s="7">
        <v>3.4000000000000002E-2</v>
      </c>
      <c r="C47" s="7">
        <v>0.06</v>
      </c>
      <c r="D47" s="7">
        <v>4.9000000000000002E-2</v>
      </c>
      <c r="E47" s="7"/>
      <c r="F47" s="7"/>
    </row>
    <row r="48" spans="1:8" ht="24">
      <c r="A48" s="7" t="s">
        <v>306</v>
      </c>
      <c r="B48" s="7">
        <v>0.32100000000000001</v>
      </c>
      <c r="C48" s="7">
        <v>0.17799999999999999</v>
      </c>
      <c r="D48" s="7">
        <v>0.23699999999999999</v>
      </c>
      <c r="E48" s="7"/>
      <c r="F48" s="7"/>
      <c r="H48" s="159"/>
    </row>
    <row r="49" spans="1:8">
      <c r="A49" s="7" t="s">
        <v>307</v>
      </c>
      <c r="B49" s="7">
        <v>0.41599999999999998</v>
      </c>
      <c r="C49" s="7">
        <v>0.51500000000000001</v>
      </c>
      <c r="D49" s="7">
        <v>0.47399999999999998</v>
      </c>
      <c r="E49" s="7"/>
      <c r="F49" s="7"/>
    </row>
    <row r="50" spans="1:8">
      <c r="A50" s="7" t="s">
        <v>308</v>
      </c>
      <c r="B50" s="7">
        <v>0.14199999999999999</v>
      </c>
      <c r="C50" s="7">
        <v>0.188</v>
      </c>
      <c r="D50" s="7">
        <v>0.16900000000000001</v>
      </c>
      <c r="E50" s="7"/>
      <c r="F50" s="7"/>
    </row>
    <row r="51" spans="1:8">
      <c r="A51" s="7" t="s">
        <v>309</v>
      </c>
      <c r="B51" s="7">
        <v>8.6999999999999994E-2</v>
      </c>
      <c r="C51" s="7">
        <v>0.06</v>
      </c>
      <c r="D51" s="7">
        <v>7.0999999999999994E-2</v>
      </c>
      <c r="E51" s="7"/>
      <c r="F51" s="7"/>
    </row>
    <row r="52" spans="1:8">
      <c r="A52" s="7"/>
      <c r="B52" s="7"/>
      <c r="C52" s="7"/>
      <c r="D52" s="7"/>
      <c r="E52" s="7"/>
      <c r="F52" s="7"/>
    </row>
    <row r="53" spans="1:8">
      <c r="A53" s="7"/>
      <c r="B53" s="7"/>
      <c r="C53" s="7"/>
      <c r="D53" s="7"/>
      <c r="E53" s="7"/>
      <c r="F53" s="7"/>
    </row>
    <row r="54" spans="1:8" ht="19">
      <c r="A54" s="160" t="s">
        <v>312</v>
      </c>
      <c r="B54" s="7"/>
      <c r="C54" s="7"/>
      <c r="D54" s="7"/>
      <c r="E54" s="7"/>
      <c r="F54" s="7"/>
    </row>
    <row r="55" spans="1:8" ht="24">
      <c r="A55" s="7"/>
      <c r="B55" s="7"/>
      <c r="C55" s="7"/>
      <c r="D55" s="7"/>
      <c r="E55" s="7"/>
      <c r="F55" s="7"/>
      <c r="H55" s="159"/>
    </row>
    <row r="56" spans="1:8">
      <c r="A56" s="161" t="s">
        <v>311</v>
      </c>
      <c r="B56" s="161" t="s">
        <v>51</v>
      </c>
      <c r="C56" s="161" t="s">
        <v>52</v>
      </c>
      <c r="D56" s="161" t="s">
        <v>40</v>
      </c>
      <c r="E56" s="7"/>
      <c r="F56" s="7"/>
    </row>
    <row r="57" spans="1:8">
      <c r="A57" s="7" t="s">
        <v>305</v>
      </c>
      <c r="B57" s="7">
        <v>8.1000000000000003E-2</v>
      </c>
      <c r="C57" s="7">
        <v>9.1999999999999998E-2</v>
      </c>
      <c r="D57" s="7">
        <v>8.8999999999999996E-2</v>
      </c>
      <c r="E57" s="7"/>
      <c r="F57" s="7"/>
      <c r="H57" s="136"/>
    </row>
    <row r="58" spans="1:8">
      <c r="A58" s="7" t="s">
        <v>306</v>
      </c>
      <c r="B58" s="7">
        <v>0.193</v>
      </c>
      <c r="C58" s="7">
        <v>0.27500000000000002</v>
      </c>
      <c r="D58" s="7">
        <v>0.251</v>
      </c>
      <c r="E58" s="7"/>
      <c r="F58" s="7"/>
    </row>
    <row r="59" spans="1:8">
      <c r="A59" s="7" t="s">
        <v>307</v>
      </c>
      <c r="B59" s="7">
        <v>0.50800000000000001</v>
      </c>
      <c r="C59" s="7">
        <v>0.35499999999999998</v>
      </c>
      <c r="D59" s="7">
        <v>0.4</v>
      </c>
      <c r="E59" s="7"/>
      <c r="F59" s="7"/>
    </row>
    <row r="60" spans="1:8">
      <c r="A60" s="7" t="s">
        <v>308</v>
      </c>
      <c r="B60" s="7">
        <v>0.155</v>
      </c>
      <c r="C60" s="7">
        <v>0.17299999999999999</v>
      </c>
      <c r="D60" s="7">
        <v>0.16800000000000001</v>
      </c>
      <c r="E60" s="7"/>
      <c r="F60" s="7"/>
    </row>
    <row r="61" spans="1:8">
      <c r="A61" s="7" t="s">
        <v>309</v>
      </c>
      <c r="B61" s="7">
        <v>6.2E-2</v>
      </c>
      <c r="C61" s="7">
        <v>0.105</v>
      </c>
      <c r="D61" s="7">
        <v>9.2999999999999999E-2</v>
      </c>
      <c r="E61" s="7"/>
      <c r="F61" s="7"/>
    </row>
    <row r="62" spans="1:8">
      <c r="A62" s="7"/>
      <c r="B62" s="7"/>
      <c r="C62" s="7"/>
      <c r="D62" s="7"/>
      <c r="E62" s="7"/>
      <c r="F62" s="7"/>
    </row>
    <row r="63" spans="1:8" ht="19">
      <c r="A63" s="160" t="s">
        <v>313</v>
      </c>
      <c r="B63" s="7"/>
      <c r="C63" s="7"/>
      <c r="D63" s="7"/>
      <c r="E63" s="7"/>
      <c r="F63" s="7"/>
    </row>
    <row r="64" spans="1:8">
      <c r="A64" s="7"/>
      <c r="B64" s="7"/>
      <c r="C64" s="7"/>
      <c r="D64" s="7"/>
      <c r="E64" s="7"/>
      <c r="F64" s="7"/>
    </row>
    <row r="65" spans="1:8" ht="24">
      <c r="A65" s="161" t="s">
        <v>314</v>
      </c>
      <c r="B65" s="161" t="s">
        <v>51</v>
      </c>
      <c r="C65" s="161" t="s">
        <v>52</v>
      </c>
      <c r="D65" s="161" t="s">
        <v>40</v>
      </c>
      <c r="E65" s="7"/>
      <c r="F65" s="7"/>
      <c r="H65" s="159"/>
    </row>
    <row r="66" spans="1:8">
      <c r="A66" s="7" t="s">
        <v>414</v>
      </c>
      <c r="B66" s="7">
        <v>3.4000000000000002E-2</v>
      </c>
      <c r="C66" s="7">
        <v>7.8E-2</v>
      </c>
      <c r="D66" s="7">
        <v>0.06</v>
      </c>
      <c r="E66" s="7"/>
      <c r="F66" s="7"/>
    </row>
    <row r="67" spans="1:8">
      <c r="A67" s="7" t="s">
        <v>415</v>
      </c>
      <c r="B67" s="7">
        <v>0.23</v>
      </c>
      <c r="C67" s="7">
        <v>0.16400000000000001</v>
      </c>
      <c r="D67" s="7">
        <v>0.191</v>
      </c>
      <c r="E67" s="7"/>
      <c r="F67" s="7"/>
      <c r="H67" s="136"/>
    </row>
    <row r="68" spans="1:8">
      <c r="A68" s="7" t="s">
        <v>416</v>
      </c>
      <c r="B68" s="7">
        <v>0.20599999999999999</v>
      </c>
      <c r="C68" s="7">
        <v>0.20499999999999999</v>
      </c>
      <c r="D68" s="7">
        <v>0.20499999999999999</v>
      </c>
      <c r="E68" s="7"/>
      <c r="F68" s="7"/>
    </row>
    <row r="69" spans="1:8">
      <c r="A69" s="7" t="s">
        <v>417</v>
      </c>
      <c r="B69" s="7">
        <v>0.52900000000000003</v>
      </c>
      <c r="C69" s="7">
        <v>0.55300000000000005</v>
      </c>
      <c r="D69" s="7">
        <v>0.54300000000000004</v>
      </c>
      <c r="E69" s="7"/>
      <c r="F69" s="7"/>
    </row>
    <row r="70" spans="1:8">
      <c r="A70" s="7"/>
      <c r="B70" s="7"/>
      <c r="C70" s="7"/>
      <c r="D70" s="7"/>
      <c r="E70" s="7"/>
      <c r="F70" s="7"/>
    </row>
    <row r="71" spans="1:8" ht="19">
      <c r="A71" s="160" t="s">
        <v>315</v>
      </c>
      <c r="B71" s="7"/>
      <c r="C71" s="7"/>
      <c r="D71" s="7"/>
      <c r="E71" s="7"/>
      <c r="F71" s="7"/>
    </row>
    <row r="72" spans="1:8">
      <c r="A72" s="7"/>
      <c r="B72" s="7"/>
      <c r="C72" s="7"/>
      <c r="D72" s="7"/>
      <c r="E72" s="7"/>
      <c r="F72" s="7"/>
    </row>
    <row r="73" spans="1:8">
      <c r="A73" s="161" t="s">
        <v>314</v>
      </c>
      <c r="B73" s="161" t="s">
        <v>51</v>
      </c>
      <c r="C73" s="161" t="s">
        <v>52</v>
      </c>
      <c r="D73" s="161" t="s">
        <v>40</v>
      </c>
      <c r="E73" s="7"/>
      <c r="F73" s="7"/>
    </row>
    <row r="74" spans="1:8">
      <c r="A74" s="7" t="s">
        <v>414</v>
      </c>
      <c r="B74" s="7">
        <v>0.125</v>
      </c>
      <c r="C74" s="7">
        <v>9.9000000000000005E-2</v>
      </c>
      <c r="D74" s="7">
        <v>0.107</v>
      </c>
      <c r="E74" s="7"/>
      <c r="F74" s="7"/>
    </row>
    <row r="75" spans="1:8" ht="24">
      <c r="A75" s="7" t="s">
        <v>415</v>
      </c>
      <c r="B75" s="7">
        <v>0.109</v>
      </c>
      <c r="C75" s="7">
        <v>0.17799999999999999</v>
      </c>
      <c r="D75" s="7">
        <v>0.158</v>
      </c>
      <c r="E75" s="7"/>
      <c r="F75" s="7"/>
      <c r="H75" s="159"/>
    </row>
    <row r="76" spans="1:8">
      <c r="A76" s="7" t="s">
        <v>416</v>
      </c>
      <c r="B76" s="7">
        <v>0.316</v>
      </c>
      <c r="C76" s="7">
        <v>0.248</v>
      </c>
      <c r="D76" s="7">
        <v>0.26800000000000002</v>
      </c>
      <c r="E76" s="7"/>
      <c r="F76" s="7"/>
    </row>
    <row r="77" spans="1:8">
      <c r="A77" s="7" t="s">
        <v>417</v>
      </c>
      <c r="B77" s="7">
        <v>0.44900000000000001</v>
      </c>
      <c r="C77" s="7">
        <v>0.47499999999999998</v>
      </c>
      <c r="D77" s="7">
        <v>0.46700000000000003</v>
      </c>
      <c r="E77" s="7"/>
      <c r="F77" s="7"/>
      <c r="H77" s="136"/>
    </row>
    <row r="78" spans="1:8">
      <c r="A78" s="7"/>
      <c r="B78" s="7"/>
      <c r="C78" s="7"/>
      <c r="D78" s="7"/>
      <c r="E78" s="7"/>
      <c r="F78" s="7"/>
    </row>
    <row r="79" spans="1:8" ht="19">
      <c r="A79" s="160" t="s">
        <v>316</v>
      </c>
      <c r="B79" s="7"/>
      <c r="C79" s="7"/>
      <c r="D79" s="7"/>
      <c r="E79" s="7"/>
      <c r="F79" s="7"/>
    </row>
    <row r="80" spans="1:8">
      <c r="A80" s="7"/>
      <c r="B80" s="7"/>
      <c r="C80" s="7"/>
      <c r="D80" s="7"/>
      <c r="E80" s="7"/>
      <c r="F80" s="7"/>
    </row>
    <row r="81" spans="1:8">
      <c r="A81" s="161" t="s">
        <v>317</v>
      </c>
      <c r="B81" s="161" t="s">
        <v>51</v>
      </c>
      <c r="C81" s="161" t="s">
        <v>52</v>
      </c>
      <c r="D81" s="161" t="s">
        <v>40</v>
      </c>
      <c r="E81" s="7"/>
      <c r="F81" s="7"/>
    </row>
    <row r="82" spans="1:8">
      <c r="A82" s="7" t="s">
        <v>418</v>
      </c>
      <c r="B82" s="7">
        <v>0.54</v>
      </c>
      <c r="C82" s="7">
        <v>0.54300000000000004</v>
      </c>
      <c r="D82" s="7">
        <v>0.54200000000000004</v>
      </c>
      <c r="E82" s="7"/>
      <c r="F82" s="7"/>
    </row>
    <row r="83" spans="1:8">
      <c r="A83" s="7" t="s">
        <v>322</v>
      </c>
      <c r="B83" s="7">
        <v>0.30599999999999999</v>
      </c>
      <c r="C83" s="7">
        <v>0.4</v>
      </c>
      <c r="D83" s="7">
        <v>0.35899999999999999</v>
      </c>
      <c r="E83" s="7"/>
      <c r="F83" s="7"/>
    </row>
    <row r="84" spans="1:8" ht="24">
      <c r="A84" s="7" t="s">
        <v>323</v>
      </c>
      <c r="B84" s="7">
        <v>0.111</v>
      </c>
      <c r="C84" s="7">
        <v>5.7000000000000002E-2</v>
      </c>
      <c r="D84" s="7">
        <v>0.08</v>
      </c>
      <c r="E84" s="7"/>
      <c r="F84" s="7"/>
      <c r="H84" s="159"/>
    </row>
    <row r="85" spans="1:8">
      <c r="A85" s="7" t="s">
        <v>324</v>
      </c>
      <c r="B85" s="7">
        <v>4.3999999999999997E-2</v>
      </c>
      <c r="C85" s="7">
        <v>0</v>
      </c>
      <c r="D85" s="7">
        <v>1.9E-2</v>
      </c>
      <c r="E85" s="7"/>
      <c r="F85" s="7"/>
    </row>
    <row r="86" spans="1:8">
      <c r="A86" s="7"/>
      <c r="B86" s="7"/>
      <c r="C86" s="7"/>
      <c r="D86" s="7"/>
      <c r="E86" s="7"/>
      <c r="F86" s="7"/>
      <c r="H86" s="136"/>
    </row>
    <row r="87" spans="1:8" ht="19">
      <c r="A87" s="160" t="s">
        <v>318</v>
      </c>
      <c r="B87" s="7"/>
      <c r="C87" s="7"/>
      <c r="D87" s="7"/>
      <c r="E87" s="7"/>
      <c r="F87" s="7"/>
    </row>
    <row r="88" spans="1:8">
      <c r="A88" s="7"/>
      <c r="B88" s="7"/>
      <c r="C88" s="7"/>
      <c r="D88" s="7"/>
      <c r="E88" s="7"/>
      <c r="F88" s="7"/>
    </row>
    <row r="89" spans="1:8">
      <c r="A89" s="161" t="s">
        <v>317</v>
      </c>
      <c r="B89" s="161" t="s">
        <v>51</v>
      </c>
      <c r="C89" s="161" t="s">
        <v>52</v>
      </c>
      <c r="D89" s="161" t="s">
        <v>40</v>
      </c>
      <c r="E89" s="7"/>
      <c r="F89" s="7"/>
    </row>
    <row r="90" spans="1:8">
      <c r="A90" s="7" t="s">
        <v>418</v>
      </c>
      <c r="B90" s="7">
        <v>0.55600000000000005</v>
      </c>
      <c r="C90" s="7">
        <v>0.46200000000000002</v>
      </c>
      <c r="D90" s="7">
        <v>0.48899999999999999</v>
      </c>
      <c r="E90" s="7"/>
      <c r="F90" s="7"/>
    </row>
    <row r="91" spans="1:8">
      <c r="A91" s="7" t="s">
        <v>322</v>
      </c>
      <c r="B91" s="7">
        <v>0.34399999999999997</v>
      </c>
      <c r="C91" s="7">
        <v>0.41399999999999998</v>
      </c>
      <c r="D91" s="7">
        <v>0.39300000000000002</v>
      </c>
      <c r="E91" s="7"/>
      <c r="F91" s="7"/>
    </row>
    <row r="92" spans="1:8">
      <c r="A92" s="7" t="s">
        <v>323</v>
      </c>
      <c r="B92" s="7">
        <v>3.4000000000000002E-2</v>
      </c>
      <c r="C92" s="7">
        <v>7.2999999999999995E-2</v>
      </c>
      <c r="D92" s="7">
        <v>6.0999999999999999E-2</v>
      </c>
      <c r="E92" s="7"/>
      <c r="F92" s="7"/>
    </row>
    <row r="93" spans="1:8" ht="24">
      <c r="A93" s="7" t="s">
        <v>324</v>
      </c>
      <c r="B93" s="7">
        <v>6.7000000000000004E-2</v>
      </c>
      <c r="C93" s="7">
        <v>5.0999999999999997E-2</v>
      </c>
      <c r="D93" s="7">
        <v>5.6000000000000001E-2</v>
      </c>
      <c r="E93" s="7"/>
      <c r="F93" s="7"/>
      <c r="H93" s="159"/>
    </row>
    <row r="94" spans="1:8">
      <c r="A94" s="7"/>
      <c r="B94" s="7"/>
      <c r="C94" s="7"/>
      <c r="D94" s="7"/>
      <c r="E94" s="7"/>
      <c r="F94" s="7"/>
    </row>
    <row r="95" spans="1:8">
      <c r="A95" s="7"/>
      <c r="B95" s="7"/>
      <c r="C95" s="7"/>
      <c r="D95" s="7"/>
      <c r="E95" s="7"/>
      <c r="F95" s="7"/>
      <c r="H95" s="136"/>
    </row>
    <row r="96" spans="1:8" ht="19">
      <c r="A96" s="160" t="s">
        <v>319</v>
      </c>
      <c r="B96" s="7"/>
      <c r="C96" s="7"/>
      <c r="D96" s="7"/>
      <c r="E96" s="7"/>
      <c r="F96" s="7"/>
    </row>
    <row r="97" spans="1:8">
      <c r="A97" s="7"/>
      <c r="B97" s="7"/>
      <c r="C97" s="7"/>
      <c r="D97" s="7"/>
      <c r="E97" s="7"/>
      <c r="F97" s="7"/>
    </row>
    <row r="98" spans="1:8">
      <c r="A98" s="161" t="s">
        <v>320</v>
      </c>
      <c r="B98" s="161" t="s">
        <v>51</v>
      </c>
      <c r="C98" s="161" t="s">
        <v>52</v>
      </c>
      <c r="D98" s="161" t="s">
        <v>40</v>
      </c>
      <c r="E98" s="7"/>
      <c r="F98" s="7"/>
    </row>
    <row r="99" spans="1:8">
      <c r="A99" s="7" t="s">
        <v>321</v>
      </c>
      <c r="B99" s="7">
        <v>0.72599999999999998</v>
      </c>
      <c r="C99" s="7">
        <v>0.68600000000000005</v>
      </c>
      <c r="D99" s="7">
        <v>0.67200000000000004</v>
      </c>
      <c r="E99" s="7"/>
      <c r="F99" s="7"/>
    </row>
    <row r="100" spans="1:8">
      <c r="A100" s="7" t="s">
        <v>322</v>
      </c>
      <c r="B100" s="7">
        <v>0.222</v>
      </c>
      <c r="C100" s="7">
        <v>0.25700000000000001</v>
      </c>
      <c r="D100" s="7">
        <v>0.28000000000000003</v>
      </c>
      <c r="E100" s="7"/>
      <c r="F100" s="7"/>
    </row>
    <row r="101" spans="1:8">
      <c r="A101" s="7" t="s">
        <v>323</v>
      </c>
      <c r="B101" s="7">
        <v>5.1999999999999998E-2</v>
      </c>
      <c r="C101" s="7">
        <v>5.7000000000000002E-2</v>
      </c>
      <c r="D101" s="7">
        <v>4.1000000000000002E-2</v>
      </c>
      <c r="E101" s="7"/>
      <c r="F101" s="7"/>
    </row>
    <row r="102" spans="1:8" ht="24">
      <c r="A102" s="7" t="s">
        <v>324</v>
      </c>
      <c r="B102" s="7">
        <v>0</v>
      </c>
      <c r="C102" s="7">
        <v>0</v>
      </c>
      <c r="D102" s="7">
        <v>7.0000000000000001E-3</v>
      </c>
      <c r="E102" s="7"/>
      <c r="F102" s="7"/>
      <c r="H102" s="159"/>
    </row>
    <row r="103" spans="1:8">
      <c r="A103" s="7"/>
      <c r="B103" s="7"/>
      <c r="C103" s="7"/>
      <c r="D103" s="7"/>
      <c r="E103" s="7"/>
      <c r="F103" s="7"/>
    </row>
    <row r="104" spans="1:8">
      <c r="A104" s="7"/>
      <c r="B104" s="7"/>
      <c r="C104" s="7"/>
      <c r="D104" s="7"/>
      <c r="E104" s="7"/>
      <c r="F104" s="7"/>
      <c r="H104" s="136"/>
    </row>
    <row r="105" spans="1:8" ht="19">
      <c r="A105" s="160" t="s">
        <v>325</v>
      </c>
      <c r="B105" s="7"/>
      <c r="C105" s="7"/>
      <c r="D105" s="7"/>
      <c r="E105" s="7"/>
      <c r="F105" s="7"/>
    </row>
    <row r="106" spans="1:8">
      <c r="A106" s="7"/>
      <c r="B106" s="7"/>
      <c r="C106" s="7"/>
      <c r="D106" s="7"/>
      <c r="E106" s="7"/>
      <c r="F106" s="7"/>
    </row>
    <row r="107" spans="1:8">
      <c r="A107" s="161" t="s">
        <v>320</v>
      </c>
      <c r="B107" s="161" t="s">
        <v>51</v>
      </c>
      <c r="C107" s="161" t="s">
        <v>52</v>
      </c>
      <c r="D107" s="161" t="s">
        <v>40</v>
      </c>
      <c r="E107" s="7"/>
      <c r="F107" s="7"/>
    </row>
    <row r="108" spans="1:8">
      <c r="A108" s="7" t="s">
        <v>321</v>
      </c>
      <c r="B108" s="7">
        <v>0.625</v>
      </c>
      <c r="C108" s="7">
        <v>0.56399999999999995</v>
      </c>
      <c r="D108" s="7">
        <v>0.61199999999999999</v>
      </c>
      <c r="E108" s="7"/>
      <c r="F108" s="7"/>
    </row>
    <row r="109" spans="1:8">
      <c r="A109" s="7" t="s">
        <v>322</v>
      </c>
      <c r="B109" s="7">
        <v>0.25</v>
      </c>
      <c r="C109" s="7">
        <v>0.308</v>
      </c>
      <c r="D109" s="7">
        <v>0.34</v>
      </c>
      <c r="E109" s="7"/>
      <c r="F109" s="7"/>
    </row>
    <row r="110" spans="1:8">
      <c r="A110" s="7" t="s">
        <v>323</v>
      </c>
      <c r="B110" s="7">
        <v>6.3E-2</v>
      </c>
      <c r="C110" s="7">
        <v>7.6999999999999999E-2</v>
      </c>
      <c r="D110" s="7">
        <v>3.4000000000000002E-2</v>
      </c>
      <c r="E110" s="7"/>
      <c r="F110" s="7"/>
    </row>
    <row r="111" spans="1:8" ht="24">
      <c r="A111" s="7" t="s">
        <v>324</v>
      </c>
      <c r="B111" s="7">
        <v>6.3E-2</v>
      </c>
      <c r="C111" s="7">
        <v>5.0999999999999997E-2</v>
      </c>
      <c r="D111" s="7">
        <v>1.4E-2</v>
      </c>
      <c r="E111" s="7"/>
      <c r="F111" s="7"/>
      <c r="H111" s="159"/>
    </row>
    <row r="112" spans="1:8">
      <c r="A112" s="7"/>
      <c r="B112" s="7"/>
      <c r="C112" s="7"/>
      <c r="D112" s="7"/>
      <c r="E112" s="7"/>
      <c r="F112" s="7"/>
    </row>
    <row r="113" spans="1:8" ht="19">
      <c r="A113" s="160" t="s">
        <v>326</v>
      </c>
      <c r="B113" s="7"/>
      <c r="C113" s="7"/>
      <c r="D113" s="7"/>
      <c r="E113" s="7"/>
      <c r="F113" s="7"/>
      <c r="H113" s="136"/>
    </row>
    <row r="114" spans="1:8">
      <c r="A114" s="7"/>
      <c r="B114" s="7"/>
      <c r="C114" s="7"/>
      <c r="D114" s="7"/>
      <c r="E114" s="7"/>
      <c r="F114" s="7"/>
    </row>
    <row r="115" spans="1:8">
      <c r="A115" s="161" t="s">
        <v>327</v>
      </c>
      <c r="B115" s="161" t="s">
        <v>51</v>
      </c>
      <c r="C115" s="161" t="s">
        <v>52</v>
      </c>
      <c r="D115" s="161" t="s">
        <v>40</v>
      </c>
      <c r="E115" s="7"/>
      <c r="F115" s="7"/>
    </row>
    <row r="116" spans="1:8">
      <c r="A116" s="7" t="s">
        <v>328</v>
      </c>
      <c r="B116" s="7">
        <v>0.81299999999999994</v>
      </c>
      <c r="C116" s="7">
        <v>0.76500000000000001</v>
      </c>
      <c r="D116" s="7">
        <v>0.48699999999999999</v>
      </c>
      <c r="E116" s="7"/>
      <c r="F116" s="7"/>
    </row>
    <row r="117" spans="1:8">
      <c r="A117" s="7" t="s">
        <v>329</v>
      </c>
      <c r="B117" s="7">
        <v>0.125</v>
      </c>
      <c r="C117" s="7">
        <v>0.184</v>
      </c>
      <c r="D117" s="7">
        <v>0.223</v>
      </c>
      <c r="E117" s="7"/>
      <c r="F117" s="7"/>
    </row>
    <row r="118" spans="1:8">
      <c r="A118" s="7" t="s">
        <v>330</v>
      </c>
      <c r="B118" s="7">
        <v>0</v>
      </c>
      <c r="C118" s="7">
        <v>0.01</v>
      </c>
      <c r="D118" s="7">
        <v>5.3999999999999999E-2</v>
      </c>
      <c r="E118" s="7"/>
      <c r="F118" s="7"/>
    </row>
    <row r="119" spans="1:8">
      <c r="A119" s="7" t="s">
        <v>331</v>
      </c>
      <c r="B119" s="7">
        <v>6.3E-2</v>
      </c>
      <c r="C119" s="7">
        <v>4.1000000000000002E-2</v>
      </c>
      <c r="D119" s="7">
        <v>0.23599999999999999</v>
      </c>
      <c r="E119" s="7"/>
      <c r="F119" s="7"/>
    </row>
    <row r="120" spans="1:8" ht="24">
      <c r="A120" s="7"/>
      <c r="B120" s="7"/>
      <c r="C120" s="7"/>
      <c r="D120" s="7"/>
      <c r="E120" s="7"/>
      <c r="F120" s="7"/>
      <c r="H120" s="159"/>
    </row>
    <row r="121" spans="1:8">
      <c r="A121" s="7"/>
      <c r="B121" s="7"/>
      <c r="C121" s="7"/>
      <c r="D121" s="7"/>
      <c r="E121" s="7"/>
      <c r="F121" s="7"/>
    </row>
    <row r="122" spans="1:8" ht="19">
      <c r="A122" s="160" t="s">
        <v>332</v>
      </c>
      <c r="B122" s="7"/>
      <c r="C122" s="7"/>
      <c r="D122" s="7"/>
      <c r="E122" s="7"/>
      <c r="F122" s="7"/>
      <c r="H122" s="136"/>
    </row>
    <row r="123" spans="1:8">
      <c r="A123" s="7"/>
      <c r="B123" s="7"/>
      <c r="C123" s="7"/>
      <c r="D123" s="7"/>
      <c r="E123" s="7"/>
      <c r="F123" s="7"/>
    </row>
    <row r="124" spans="1:8">
      <c r="A124" s="161" t="s">
        <v>327</v>
      </c>
      <c r="B124" s="161" t="s">
        <v>51</v>
      </c>
      <c r="C124" s="161" t="s">
        <v>52</v>
      </c>
      <c r="D124" s="161" t="s">
        <v>40</v>
      </c>
      <c r="E124" s="7"/>
      <c r="F124" s="7"/>
    </row>
    <row r="125" spans="1:8">
      <c r="A125" s="7" t="s">
        <v>328</v>
      </c>
      <c r="B125" s="7">
        <v>0.625</v>
      </c>
      <c r="C125" s="7">
        <v>0.58899999999999997</v>
      </c>
      <c r="D125" s="7">
        <v>0.73</v>
      </c>
      <c r="E125" s="7"/>
      <c r="F125" s="7"/>
    </row>
    <row r="126" spans="1:8">
      <c r="A126" s="7" t="s">
        <v>329</v>
      </c>
      <c r="B126" s="7">
        <v>0.313</v>
      </c>
      <c r="C126" s="7">
        <v>0.33300000000000002</v>
      </c>
      <c r="D126" s="7">
        <v>0.16800000000000001</v>
      </c>
      <c r="E126" s="7"/>
      <c r="F126" s="7"/>
    </row>
    <row r="127" spans="1:8">
      <c r="A127" s="7" t="s">
        <v>330</v>
      </c>
      <c r="B127" s="7">
        <v>0</v>
      </c>
      <c r="C127" s="7">
        <v>2.5999999999999999E-2</v>
      </c>
      <c r="D127" s="7">
        <v>1.6E-2</v>
      </c>
      <c r="E127" s="7"/>
      <c r="F127" s="7"/>
    </row>
    <row r="128" spans="1:8">
      <c r="A128" s="7" t="s">
        <v>331</v>
      </c>
      <c r="B128" s="7">
        <v>6.3E-2</v>
      </c>
      <c r="C128" s="7">
        <v>5.0999999999999997E-2</v>
      </c>
      <c r="D128" s="7">
        <v>8.5999999999999993E-2</v>
      </c>
      <c r="E128" s="7"/>
      <c r="F128" s="7"/>
    </row>
    <row r="129" spans="1:8" ht="24">
      <c r="A129" s="7"/>
      <c r="B129" s="7"/>
      <c r="C129" s="7"/>
      <c r="D129" s="7"/>
      <c r="E129" s="7"/>
      <c r="F129" s="7"/>
      <c r="H129" s="159"/>
    </row>
    <row r="130" spans="1:8" ht="19">
      <c r="A130" s="160" t="s">
        <v>333</v>
      </c>
      <c r="B130" s="7"/>
      <c r="C130" s="7"/>
      <c r="D130" s="7"/>
      <c r="E130" s="7"/>
      <c r="F130" s="7"/>
    </row>
    <row r="131" spans="1:8">
      <c r="A131" s="7"/>
      <c r="B131" s="7"/>
      <c r="C131" s="7"/>
      <c r="D131" s="7"/>
      <c r="E131" s="7"/>
      <c r="F131" s="7"/>
      <c r="H131" s="136"/>
    </row>
    <row r="132" spans="1:8">
      <c r="A132" s="161" t="s">
        <v>334</v>
      </c>
      <c r="B132" s="161" t="s">
        <v>51</v>
      </c>
      <c r="C132" s="161" t="s">
        <v>52</v>
      </c>
      <c r="D132" s="161" t="s">
        <v>40</v>
      </c>
      <c r="E132" s="7"/>
      <c r="F132" s="7"/>
    </row>
    <row r="133" spans="1:8">
      <c r="A133" s="7" t="s">
        <v>335</v>
      </c>
      <c r="B133" s="7">
        <v>0.75</v>
      </c>
      <c r="C133" s="7">
        <v>0.78600000000000003</v>
      </c>
      <c r="D133" s="7">
        <v>0.78200000000000003</v>
      </c>
      <c r="E133" s="7"/>
      <c r="F133" s="7"/>
    </row>
    <row r="134" spans="1:8">
      <c r="A134" s="7" t="s">
        <v>336</v>
      </c>
      <c r="B134" s="7">
        <v>0.188</v>
      </c>
      <c r="C134" s="7">
        <v>0.17100000000000001</v>
      </c>
      <c r="D134" s="7">
        <v>0.11600000000000001</v>
      </c>
      <c r="E134" s="7"/>
      <c r="F134" s="7"/>
    </row>
    <row r="135" spans="1:8">
      <c r="A135" s="7" t="s">
        <v>337</v>
      </c>
      <c r="B135" s="7">
        <v>6.3E-2</v>
      </c>
      <c r="C135" s="7">
        <v>4.2999999999999997E-2</v>
      </c>
      <c r="D135" s="7">
        <v>7.1999999999999995E-2</v>
      </c>
      <c r="E135" s="7"/>
      <c r="F135" s="7"/>
    </row>
    <row r="136" spans="1:8">
      <c r="A136" s="7" t="s">
        <v>338</v>
      </c>
      <c r="B136" s="7">
        <v>0</v>
      </c>
      <c r="C136" s="7">
        <v>0</v>
      </c>
      <c r="D136" s="7">
        <v>0.03</v>
      </c>
      <c r="E136" s="7"/>
      <c r="F136" s="7"/>
    </row>
    <row r="137" spans="1:8">
      <c r="A137" s="7"/>
      <c r="B137" s="7"/>
      <c r="C137" s="7"/>
      <c r="D137" s="7"/>
      <c r="E137" s="7"/>
      <c r="F137" s="7"/>
    </row>
    <row r="138" spans="1:8" ht="24">
      <c r="A138" s="7"/>
      <c r="B138" s="7"/>
      <c r="C138" s="7"/>
      <c r="D138" s="7"/>
      <c r="E138" s="7"/>
      <c r="F138" s="7"/>
      <c r="H138" s="159"/>
    </row>
    <row r="139" spans="1:8" ht="19">
      <c r="A139" s="160" t="s">
        <v>339</v>
      </c>
      <c r="B139" s="7"/>
      <c r="C139" s="7"/>
      <c r="D139" s="7"/>
      <c r="E139" s="7"/>
      <c r="F139" s="7"/>
    </row>
    <row r="140" spans="1:8">
      <c r="A140" s="7"/>
      <c r="B140" s="7"/>
      <c r="C140" s="7"/>
      <c r="D140" s="7"/>
      <c r="E140" s="7"/>
      <c r="F140" s="7"/>
      <c r="H140" s="136"/>
    </row>
    <row r="141" spans="1:8">
      <c r="A141" s="161" t="s">
        <v>334</v>
      </c>
      <c r="B141" s="161" t="s">
        <v>51</v>
      </c>
      <c r="C141" s="161" t="s">
        <v>52</v>
      </c>
      <c r="D141" s="161" t="s">
        <v>40</v>
      </c>
      <c r="E141" s="7"/>
      <c r="F141" s="7"/>
    </row>
    <row r="142" spans="1:8">
      <c r="A142" s="7" t="s">
        <v>335</v>
      </c>
      <c r="B142" s="7">
        <v>0.68799999999999994</v>
      </c>
      <c r="C142" s="7">
        <v>0.64100000000000001</v>
      </c>
      <c r="D142" s="7">
        <v>0.82399999999999995</v>
      </c>
      <c r="E142" s="7"/>
      <c r="F142" s="7"/>
    </row>
    <row r="143" spans="1:8">
      <c r="A143" s="7" t="s">
        <v>336</v>
      </c>
      <c r="B143" s="7">
        <v>0.188</v>
      </c>
      <c r="C143" s="7">
        <v>0.23100000000000001</v>
      </c>
      <c r="D143" s="7">
        <v>0.13600000000000001</v>
      </c>
      <c r="E143" s="7"/>
      <c r="F143" s="7"/>
    </row>
    <row r="144" spans="1:8">
      <c r="A144" s="7" t="s">
        <v>337</v>
      </c>
      <c r="B144" s="7">
        <v>6.3E-2</v>
      </c>
      <c r="C144" s="7">
        <v>7.6999999999999999E-2</v>
      </c>
      <c r="D144" s="7">
        <v>2.1999999999999999E-2</v>
      </c>
      <c r="E144" s="7"/>
      <c r="F144" s="7"/>
    </row>
    <row r="145" spans="1:8">
      <c r="A145" s="7" t="s">
        <v>338</v>
      </c>
      <c r="B145" s="7">
        <v>6.3E-2</v>
      </c>
      <c r="C145" s="7">
        <v>5.0999999999999997E-2</v>
      </c>
      <c r="D145" s="7">
        <v>1.7999999999999999E-2</v>
      </c>
      <c r="E145" s="7"/>
      <c r="F145" s="7"/>
    </row>
    <row r="147" spans="1:8" ht="24">
      <c r="H147" s="159"/>
    </row>
    <row r="149" spans="1:8">
      <c r="H149" s="136"/>
    </row>
    <row r="156" spans="1:8" ht="24">
      <c r="H156" s="159"/>
    </row>
    <row r="158" spans="1:8">
      <c r="H158" s="136"/>
    </row>
  </sheetData>
  <mergeCells count="1">
    <mergeCell ref="A1:F1"/>
  </mergeCell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F978-C022-4646-8112-188176D31D69}">
  <dimension ref="A1:O128"/>
  <sheetViews>
    <sheetView tabSelected="1" zoomScale="38" workbookViewId="0">
      <selection activeCell="AE60" sqref="AE60"/>
    </sheetView>
  </sheetViews>
  <sheetFormatPr baseColWidth="10" defaultColWidth="11" defaultRowHeight="16"/>
  <sheetData>
    <row r="1" spans="1:4" ht="19">
      <c r="A1" s="155" t="s">
        <v>412</v>
      </c>
    </row>
    <row r="3" spans="1:4">
      <c r="A3" s="136" t="s">
        <v>340</v>
      </c>
      <c r="B3" s="136" t="s">
        <v>51</v>
      </c>
      <c r="C3" s="136" t="s">
        <v>52</v>
      </c>
      <c r="D3" s="136" t="s">
        <v>40</v>
      </c>
    </row>
    <row r="4" spans="1:4">
      <c r="A4" t="s">
        <v>341</v>
      </c>
      <c r="B4" s="141">
        <v>0.68799999999999994</v>
      </c>
      <c r="C4" s="141">
        <v>0.7</v>
      </c>
      <c r="D4" s="141">
        <v>0.93600000000000005</v>
      </c>
    </row>
    <row r="5" spans="1:4">
      <c r="A5" t="s">
        <v>342</v>
      </c>
      <c r="B5" s="141">
        <v>0.25</v>
      </c>
      <c r="C5" s="141">
        <v>0.24299999999999999</v>
      </c>
      <c r="D5" s="141">
        <v>4.5999999999999999E-2</v>
      </c>
    </row>
    <row r="6" spans="1:4">
      <c r="A6" t="s">
        <v>343</v>
      </c>
      <c r="B6" s="141">
        <v>6.3E-2</v>
      </c>
      <c r="C6" s="141">
        <v>5.7000000000000002E-2</v>
      </c>
      <c r="D6" s="141">
        <v>1.7999999999999999E-2</v>
      </c>
    </row>
    <row r="9" spans="1:4" ht="19">
      <c r="A9" s="155" t="s">
        <v>344</v>
      </c>
    </row>
    <row r="11" spans="1:4">
      <c r="A11" s="136" t="s">
        <v>340</v>
      </c>
      <c r="B11" s="136" t="s">
        <v>51</v>
      </c>
      <c r="C11" s="136" t="s">
        <v>52</v>
      </c>
      <c r="D11" s="136" t="s">
        <v>40</v>
      </c>
    </row>
    <row r="12" spans="1:4">
      <c r="A12" t="s">
        <v>341</v>
      </c>
      <c r="B12" s="141">
        <v>0.625</v>
      </c>
      <c r="C12" s="141">
        <v>0.61499999999999999</v>
      </c>
      <c r="D12" s="141">
        <v>0.88800000000000001</v>
      </c>
    </row>
    <row r="13" spans="1:4">
      <c r="A13" t="s">
        <v>342</v>
      </c>
      <c r="B13" s="141">
        <v>0.313</v>
      </c>
      <c r="C13" s="141">
        <v>0.308</v>
      </c>
      <c r="D13" s="141">
        <v>8.1000000000000003E-2</v>
      </c>
    </row>
    <row r="14" spans="1:4">
      <c r="A14" t="s">
        <v>343</v>
      </c>
      <c r="B14" s="141">
        <v>6.3E-2</v>
      </c>
      <c r="C14" s="141">
        <v>7.6999999999999999E-2</v>
      </c>
      <c r="D14" s="141">
        <v>3.1E-2</v>
      </c>
    </row>
    <row r="16" spans="1:4" ht="19">
      <c r="A16" s="155" t="s">
        <v>345</v>
      </c>
    </row>
    <row r="18" spans="1:4">
      <c r="A18" s="136" t="s">
        <v>346</v>
      </c>
      <c r="B18" s="136" t="s">
        <v>51</v>
      </c>
      <c r="C18" s="136" t="s">
        <v>52</v>
      </c>
      <c r="D18" s="136" t="s">
        <v>40</v>
      </c>
    </row>
    <row r="19" spans="1:4">
      <c r="A19" t="s">
        <v>347</v>
      </c>
      <c r="B19" s="141">
        <v>0.56299999999999994</v>
      </c>
      <c r="C19" s="141">
        <v>0.6</v>
      </c>
      <c r="D19" s="141">
        <v>0.57599999999999996</v>
      </c>
    </row>
    <row r="20" spans="1:4">
      <c r="A20" t="s">
        <v>348</v>
      </c>
      <c r="B20" s="141">
        <v>0.313</v>
      </c>
      <c r="C20" s="141">
        <v>0.28599999999999998</v>
      </c>
      <c r="D20" s="141">
        <v>0.28799999999999998</v>
      </c>
    </row>
    <row r="21" spans="1:4">
      <c r="A21" t="s">
        <v>349</v>
      </c>
      <c r="B21" s="141">
        <v>0.125</v>
      </c>
      <c r="C21" s="141">
        <v>0.114</v>
      </c>
      <c r="D21" s="141">
        <v>0.13700000000000001</v>
      </c>
    </row>
    <row r="24" spans="1:4" ht="19">
      <c r="A24" s="155" t="s">
        <v>350</v>
      </c>
    </row>
    <row r="26" spans="1:4">
      <c r="A26" s="136" t="s">
        <v>346</v>
      </c>
      <c r="B26" s="136" t="s">
        <v>51</v>
      </c>
      <c r="C26" s="136" t="s">
        <v>52</v>
      </c>
      <c r="D26" s="136" t="s">
        <v>40</v>
      </c>
    </row>
    <row r="27" spans="1:4">
      <c r="A27" t="s">
        <v>347</v>
      </c>
      <c r="B27" s="141">
        <v>0.625</v>
      </c>
      <c r="C27" s="141">
        <v>0.64100000000000001</v>
      </c>
      <c r="D27" s="141">
        <v>0.68799999999999994</v>
      </c>
    </row>
    <row r="28" spans="1:4">
      <c r="A28" t="s">
        <v>348</v>
      </c>
      <c r="B28" s="141">
        <v>0.25</v>
      </c>
      <c r="C28" s="141">
        <v>0.25600000000000001</v>
      </c>
      <c r="D28" s="141">
        <v>0.249</v>
      </c>
    </row>
    <row r="29" spans="1:4">
      <c r="A29" t="s">
        <v>349</v>
      </c>
      <c r="B29" s="141">
        <v>0.125</v>
      </c>
      <c r="C29" s="141">
        <v>0.10299999999999999</v>
      </c>
      <c r="D29" s="141">
        <v>6.3E-2</v>
      </c>
    </row>
    <row r="31" spans="1:4" ht="19">
      <c r="A31" s="155" t="s">
        <v>333</v>
      </c>
    </row>
    <row r="33" spans="1:4">
      <c r="A33" s="136" t="s">
        <v>334</v>
      </c>
      <c r="B33" s="136" t="s">
        <v>51</v>
      </c>
      <c r="C33" s="136" t="s">
        <v>52</v>
      </c>
      <c r="D33" s="136" t="s">
        <v>40</v>
      </c>
    </row>
    <row r="34" spans="1:4">
      <c r="A34" t="s">
        <v>335</v>
      </c>
      <c r="B34" s="141">
        <v>0.74</v>
      </c>
      <c r="C34" s="141">
        <v>0.81100000000000005</v>
      </c>
      <c r="D34" s="141">
        <v>0.78200000000000003</v>
      </c>
    </row>
    <row r="35" spans="1:4">
      <c r="A35" t="s">
        <v>406</v>
      </c>
      <c r="B35" s="141">
        <v>0.11899999999999999</v>
      </c>
      <c r="C35" s="141">
        <v>0.115</v>
      </c>
      <c r="D35" s="141">
        <v>0.11600000000000001</v>
      </c>
    </row>
    <row r="36" spans="1:4">
      <c r="A36" t="s">
        <v>407</v>
      </c>
      <c r="B36" s="141">
        <v>0.10199999999999999</v>
      </c>
      <c r="C36" s="141">
        <v>5.0999999999999997E-2</v>
      </c>
      <c r="D36" s="141">
        <v>7.1999999999999995E-2</v>
      </c>
    </row>
    <row r="37" spans="1:4">
      <c r="A37" t="s">
        <v>408</v>
      </c>
      <c r="B37" s="141">
        <v>0.04</v>
      </c>
      <c r="C37" s="141">
        <v>2.4E-2</v>
      </c>
      <c r="D37" s="141">
        <v>0.03</v>
      </c>
    </row>
    <row r="40" spans="1:4" ht="19">
      <c r="A40" s="155" t="s">
        <v>339</v>
      </c>
    </row>
    <row r="42" spans="1:4">
      <c r="A42" s="136" t="s">
        <v>334</v>
      </c>
      <c r="B42" s="136" t="s">
        <v>51</v>
      </c>
      <c r="C42" s="136" t="s">
        <v>52</v>
      </c>
      <c r="D42" s="136" t="s">
        <v>40</v>
      </c>
    </row>
    <row r="43" spans="1:4">
      <c r="A43" t="s">
        <v>335</v>
      </c>
      <c r="B43" s="141">
        <v>0.70099999999999996</v>
      </c>
      <c r="C43" s="141">
        <v>0.873</v>
      </c>
      <c r="D43" s="141">
        <v>0.82399999999999995</v>
      </c>
    </row>
    <row r="44" spans="1:4">
      <c r="A44" t="s">
        <v>406</v>
      </c>
      <c r="B44" s="141">
        <v>0.21299999999999999</v>
      </c>
      <c r="C44" s="141">
        <v>0.105</v>
      </c>
      <c r="D44" s="141">
        <v>0.13600000000000001</v>
      </c>
    </row>
    <row r="45" spans="1:4">
      <c r="A45" t="s">
        <v>407</v>
      </c>
      <c r="B45" s="141">
        <v>0.05</v>
      </c>
      <c r="C45" s="141">
        <v>1.0999999999999999E-2</v>
      </c>
      <c r="D45" s="141">
        <v>2.1999999999999999E-2</v>
      </c>
    </row>
    <row r="46" spans="1:4">
      <c r="A46" t="s">
        <v>408</v>
      </c>
      <c r="B46" s="141">
        <v>3.5999999999999997E-2</v>
      </c>
      <c r="C46" s="141">
        <v>1.0999999999999999E-2</v>
      </c>
      <c r="D46" s="141">
        <v>1.7999999999999999E-2</v>
      </c>
    </row>
    <row r="48" spans="1:4" ht="19">
      <c r="A48" s="155" t="s">
        <v>413</v>
      </c>
    </row>
    <row r="50" spans="1:5">
      <c r="A50" s="136" t="s">
        <v>355</v>
      </c>
      <c r="B50" s="136" t="s">
        <v>351</v>
      </c>
      <c r="C50" s="136" t="s">
        <v>352</v>
      </c>
      <c r="D50" s="136" t="s">
        <v>353</v>
      </c>
      <c r="E50" s="136" t="s">
        <v>354</v>
      </c>
    </row>
    <row r="51" spans="1:5">
      <c r="A51" t="s">
        <v>13</v>
      </c>
      <c r="B51" s="141">
        <v>0.38100000000000001</v>
      </c>
      <c r="C51" s="141">
        <v>0.58299999999999996</v>
      </c>
      <c r="D51" s="141">
        <v>0.35699999999999998</v>
      </c>
      <c r="E51" s="141">
        <v>0.38100000000000001</v>
      </c>
    </row>
    <row r="52" spans="1:5">
      <c r="A52" t="s">
        <v>14</v>
      </c>
      <c r="B52" s="141">
        <v>0.39400000000000002</v>
      </c>
      <c r="C52" s="141">
        <v>0.27300000000000002</v>
      </c>
      <c r="D52" s="141">
        <v>0.61199999999999999</v>
      </c>
      <c r="E52" s="141">
        <v>0.53</v>
      </c>
    </row>
    <row r="53" spans="1:5">
      <c r="A53" t="s">
        <v>356</v>
      </c>
      <c r="B53" s="141">
        <v>0.22500000000000001</v>
      </c>
      <c r="C53" s="141">
        <v>0.14399999999999999</v>
      </c>
      <c r="D53" s="141">
        <v>3.1E-2</v>
      </c>
      <c r="E53" s="141">
        <v>8.8999999999999996E-2</v>
      </c>
    </row>
    <row r="54" spans="1:5">
      <c r="B54" s="141"/>
      <c r="C54" s="141"/>
      <c r="D54" s="141"/>
      <c r="E54" s="141"/>
    </row>
    <row r="56" spans="1:5" ht="19">
      <c r="A56" s="155" t="s">
        <v>357</v>
      </c>
    </row>
    <row r="58" spans="1:5">
      <c r="A58" s="136" t="s">
        <v>358</v>
      </c>
      <c r="B58" s="136" t="s">
        <v>359</v>
      </c>
      <c r="C58" s="136" t="s">
        <v>360</v>
      </c>
      <c r="D58" s="136" t="s">
        <v>361</v>
      </c>
    </row>
    <row r="59" spans="1:5">
      <c r="A59" t="s">
        <v>362</v>
      </c>
      <c r="B59" s="141">
        <v>0.23200000000000001</v>
      </c>
      <c r="C59" s="141">
        <v>0.377</v>
      </c>
      <c r="D59" s="141">
        <v>0.39100000000000001</v>
      </c>
    </row>
    <row r="60" spans="1:5">
      <c r="A60" t="s">
        <v>363</v>
      </c>
      <c r="B60" s="141">
        <v>0.372</v>
      </c>
      <c r="C60" s="141">
        <v>0.375</v>
      </c>
      <c r="D60" s="141">
        <v>0.253</v>
      </c>
    </row>
    <row r="61" spans="1:5">
      <c r="A61" t="s">
        <v>364</v>
      </c>
      <c r="B61" s="141">
        <v>0.29399999999999998</v>
      </c>
      <c r="C61" s="141">
        <v>0.375</v>
      </c>
      <c r="D61" s="141">
        <v>0.33100000000000002</v>
      </c>
    </row>
    <row r="62" spans="1:5">
      <c r="A62" t="s">
        <v>365</v>
      </c>
      <c r="B62" s="141">
        <v>0.26800000000000002</v>
      </c>
      <c r="C62" s="141">
        <v>0.30099999999999999</v>
      </c>
      <c r="D62" s="141">
        <v>0.43099999999999999</v>
      </c>
    </row>
    <row r="65" spans="1:13" ht="19">
      <c r="A65" s="155" t="s">
        <v>366</v>
      </c>
      <c r="J65" t="s">
        <v>392</v>
      </c>
    </row>
    <row r="67" spans="1:13">
      <c r="A67" s="136" t="s">
        <v>358</v>
      </c>
      <c r="B67" s="136" t="s">
        <v>359</v>
      </c>
      <c r="C67" s="136" t="s">
        <v>360</v>
      </c>
      <c r="D67" s="136" t="s">
        <v>361</v>
      </c>
      <c r="J67" s="136" t="s">
        <v>358</v>
      </c>
      <c r="K67" s="136" t="s">
        <v>359</v>
      </c>
      <c r="L67" s="136" t="s">
        <v>360</v>
      </c>
      <c r="M67" s="136" t="s">
        <v>361</v>
      </c>
    </row>
    <row r="68" spans="1:13">
      <c r="A68" t="s">
        <v>367</v>
      </c>
      <c r="B68" s="141">
        <v>0.217</v>
      </c>
      <c r="C68" s="141">
        <v>0.434</v>
      </c>
      <c r="D68" s="141">
        <v>0.34899999999999998</v>
      </c>
      <c r="J68" t="s">
        <v>367</v>
      </c>
      <c r="K68" s="141">
        <v>0.252</v>
      </c>
      <c r="L68" s="141">
        <v>0.41299999999999998</v>
      </c>
      <c r="M68" s="141">
        <v>0.33500000000000002</v>
      </c>
    </row>
    <row r="69" spans="1:13">
      <c r="A69" t="s">
        <v>362</v>
      </c>
      <c r="B69" s="141">
        <v>0.22500000000000001</v>
      </c>
      <c r="C69" s="141">
        <v>0.36799999999999999</v>
      </c>
      <c r="D69" s="141">
        <v>0.40699999999999997</v>
      </c>
      <c r="J69" t="s">
        <v>362</v>
      </c>
      <c r="K69" s="141">
        <v>0.22800000000000001</v>
      </c>
      <c r="L69" s="141">
        <v>0.372</v>
      </c>
      <c r="M69" s="141">
        <v>0.40100000000000002</v>
      </c>
    </row>
    <row r="70" spans="1:13">
      <c r="A70" t="s">
        <v>363</v>
      </c>
      <c r="B70" s="141">
        <v>0.54400000000000004</v>
      </c>
      <c r="C70" s="141">
        <v>0.224</v>
      </c>
      <c r="D70" s="141">
        <v>0.23200000000000001</v>
      </c>
      <c r="J70" t="s">
        <v>394</v>
      </c>
      <c r="K70" s="141">
        <v>0.47399999999999998</v>
      </c>
      <c r="L70" s="141">
        <v>0.28499999999999998</v>
      </c>
      <c r="M70" s="141">
        <v>0.24</v>
      </c>
    </row>
    <row r="71" spans="1:13">
      <c r="A71" t="s">
        <v>364</v>
      </c>
      <c r="B71" s="141">
        <v>0.40500000000000003</v>
      </c>
      <c r="C71" s="141">
        <v>0.28299999999999997</v>
      </c>
      <c r="D71" s="141">
        <v>0.312</v>
      </c>
      <c r="J71" t="s">
        <v>395</v>
      </c>
      <c r="K71" s="141">
        <v>0.35799999999999998</v>
      </c>
      <c r="L71" s="141">
        <v>0.32200000000000001</v>
      </c>
      <c r="M71" s="141">
        <v>0.32</v>
      </c>
    </row>
    <row r="72" spans="1:13">
      <c r="A72" t="s">
        <v>365</v>
      </c>
      <c r="B72" s="141">
        <v>0.376</v>
      </c>
      <c r="C72" s="141">
        <v>0.30299999999999999</v>
      </c>
      <c r="D72" s="141">
        <v>0.32100000000000001</v>
      </c>
      <c r="J72" t="s">
        <v>396</v>
      </c>
      <c r="K72" s="141">
        <v>0.33100000000000002</v>
      </c>
      <c r="L72" s="141">
        <v>0.30199999999999999</v>
      </c>
      <c r="M72" s="141">
        <v>0.36599999999999999</v>
      </c>
    </row>
    <row r="74" spans="1:13" ht="19">
      <c r="A74" s="155" t="s">
        <v>368</v>
      </c>
      <c r="J74" t="s">
        <v>409</v>
      </c>
    </row>
    <row r="76" spans="1:13">
      <c r="A76" s="136" t="s">
        <v>358</v>
      </c>
      <c r="B76" s="136" t="s">
        <v>359</v>
      </c>
      <c r="C76" s="136" t="s">
        <v>360</v>
      </c>
      <c r="D76" s="136" t="s">
        <v>361</v>
      </c>
      <c r="J76" s="136" t="s">
        <v>358</v>
      </c>
      <c r="K76" s="136" t="s">
        <v>359</v>
      </c>
      <c r="L76" s="136" t="s">
        <v>360</v>
      </c>
      <c r="M76" s="136" t="s">
        <v>361</v>
      </c>
    </row>
    <row r="77" spans="1:13">
      <c r="A77" t="s">
        <v>367</v>
      </c>
      <c r="B77" s="141">
        <v>0.32500000000000001</v>
      </c>
      <c r="C77" s="141">
        <v>0.30199999999999999</v>
      </c>
      <c r="D77" s="141">
        <v>0.373</v>
      </c>
      <c r="J77" t="s">
        <v>367</v>
      </c>
      <c r="K77" s="141">
        <v>0.3</v>
      </c>
      <c r="L77" s="141">
        <v>0.38300000000000001</v>
      </c>
      <c r="M77" s="141">
        <v>0.317</v>
      </c>
    </row>
    <row r="78" spans="1:13">
      <c r="A78" t="s">
        <v>362</v>
      </c>
      <c r="B78" s="141">
        <v>0.38400000000000001</v>
      </c>
      <c r="C78" s="141">
        <v>0.26800000000000002</v>
      </c>
      <c r="D78" s="141">
        <v>0.34699999999999998</v>
      </c>
      <c r="J78" t="s">
        <v>362</v>
      </c>
      <c r="K78" s="141">
        <v>0.23200000000000001</v>
      </c>
      <c r="L78" s="141">
        <v>0.377</v>
      </c>
      <c r="M78" s="141">
        <v>0.39100000000000001</v>
      </c>
    </row>
    <row r="79" spans="1:13">
      <c r="A79" t="s">
        <v>363</v>
      </c>
      <c r="B79" s="141">
        <v>0.64900000000000002</v>
      </c>
      <c r="C79" s="141">
        <v>0.22500000000000001</v>
      </c>
      <c r="D79" s="141">
        <v>0.126</v>
      </c>
      <c r="J79" t="s">
        <v>363</v>
      </c>
      <c r="K79" s="141">
        <v>0.372</v>
      </c>
      <c r="L79" s="141">
        <v>0.375</v>
      </c>
      <c r="M79" s="141">
        <v>0.253</v>
      </c>
    </row>
    <row r="80" spans="1:13">
      <c r="A80" t="s">
        <v>364</v>
      </c>
      <c r="B80" s="141">
        <v>0.47299999999999998</v>
      </c>
      <c r="C80" s="141">
        <v>0.376</v>
      </c>
      <c r="D80" s="141">
        <v>0.151</v>
      </c>
      <c r="J80" t="s">
        <v>364</v>
      </c>
      <c r="K80" s="141">
        <v>0.29399999999999998</v>
      </c>
      <c r="L80" s="141">
        <v>0.375</v>
      </c>
      <c r="M80" s="141">
        <v>0.33100000000000002</v>
      </c>
    </row>
    <row r="81" spans="1:13">
      <c r="A81" t="s">
        <v>365</v>
      </c>
      <c r="B81" s="141">
        <v>0.47</v>
      </c>
      <c r="C81" s="141">
        <v>0.32400000000000001</v>
      </c>
      <c r="D81" s="141">
        <v>0.20599999999999999</v>
      </c>
      <c r="J81" t="s">
        <v>365</v>
      </c>
      <c r="K81" s="141">
        <v>0.26800000000000002</v>
      </c>
      <c r="L81" s="141">
        <v>0.30099999999999999</v>
      </c>
      <c r="M81" s="141">
        <v>0.43099999999999999</v>
      </c>
    </row>
    <row r="82" spans="1:13">
      <c r="K82" s="141"/>
    </row>
    <row r="83" spans="1:13" ht="19">
      <c r="A83" s="155" t="s">
        <v>369</v>
      </c>
      <c r="K83" s="59"/>
    </row>
    <row r="84" spans="1:13">
      <c r="K84" s="141"/>
    </row>
    <row r="85" spans="1:13">
      <c r="A85" s="136" t="s">
        <v>358</v>
      </c>
      <c r="B85" s="136" t="s">
        <v>359</v>
      </c>
      <c r="C85" s="136" t="s">
        <v>360</v>
      </c>
      <c r="D85" s="136" t="s">
        <v>361</v>
      </c>
    </row>
    <row r="86" spans="1:13">
      <c r="A86" t="s">
        <v>367</v>
      </c>
      <c r="B86" s="141">
        <v>0.313</v>
      </c>
      <c r="C86" s="141">
        <v>0.375</v>
      </c>
      <c r="D86" s="141">
        <v>0.312</v>
      </c>
    </row>
    <row r="87" spans="1:13">
      <c r="A87" t="s">
        <v>362</v>
      </c>
      <c r="B87" s="141">
        <v>0.23200000000000001</v>
      </c>
      <c r="C87" s="141">
        <v>0.377</v>
      </c>
      <c r="D87" s="141">
        <v>0.39100000000000001</v>
      </c>
    </row>
    <row r="88" spans="1:13">
      <c r="A88" t="s">
        <v>363</v>
      </c>
      <c r="B88" s="141">
        <v>0.372</v>
      </c>
      <c r="C88" s="141">
        <v>0.375</v>
      </c>
      <c r="D88" s="141">
        <v>0.253</v>
      </c>
    </row>
    <row r="89" spans="1:13">
      <c r="A89" t="s">
        <v>364</v>
      </c>
      <c r="B89" s="141">
        <v>0.29399999999999998</v>
      </c>
      <c r="C89" s="141">
        <v>0.375</v>
      </c>
      <c r="D89" s="141">
        <v>0.33100000000000002</v>
      </c>
    </row>
    <row r="90" spans="1:13">
      <c r="A90" t="s">
        <v>365</v>
      </c>
      <c r="B90" s="141">
        <v>0.26800000000000002</v>
      </c>
      <c r="C90" s="141">
        <v>0.30099999999999999</v>
      </c>
      <c r="D90" s="141">
        <v>0.43099999999999999</v>
      </c>
    </row>
    <row r="91" spans="1:13" ht="19">
      <c r="A91" s="155" t="s">
        <v>370</v>
      </c>
    </row>
    <row r="93" spans="1:13">
      <c r="A93" s="136" t="s">
        <v>358</v>
      </c>
      <c r="B93" s="136" t="s">
        <v>359</v>
      </c>
      <c r="C93" s="136" t="s">
        <v>360</v>
      </c>
      <c r="D93" s="136" t="s">
        <v>361</v>
      </c>
    </row>
    <row r="94" spans="1:13">
      <c r="A94" t="s">
        <v>367</v>
      </c>
      <c r="B94" s="141">
        <v>0.41899999999999998</v>
      </c>
      <c r="C94" s="141">
        <v>0.28299999999999997</v>
      </c>
      <c r="D94" s="141">
        <v>0.29799999999999999</v>
      </c>
    </row>
    <row r="95" spans="1:13">
      <c r="A95" t="s">
        <v>362</v>
      </c>
      <c r="B95" s="141">
        <v>0.23200000000000001</v>
      </c>
      <c r="C95" s="141">
        <v>0.377</v>
      </c>
      <c r="D95" s="141">
        <v>0.39100000000000001</v>
      </c>
    </row>
    <row r="96" spans="1:13">
      <c r="A96" t="s">
        <v>363</v>
      </c>
      <c r="B96" s="141">
        <v>0.57399999999999995</v>
      </c>
      <c r="C96" s="141">
        <v>0.29299999999999998</v>
      </c>
      <c r="D96" s="141">
        <v>0.13400000000000001</v>
      </c>
    </row>
    <row r="97" spans="1:15">
      <c r="A97" t="s">
        <v>364</v>
      </c>
      <c r="B97" s="141">
        <v>0.441</v>
      </c>
      <c r="C97" s="141">
        <v>0.32400000000000001</v>
      </c>
      <c r="D97" s="141">
        <v>0.23499999999999999</v>
      </c>
    </row>
    <row r="98" spans="1:15">
      <c r="A98" t="s">
        <v>365</v>
      </c>
      <c r="B98" s="141">
        <v>0.46400000000000002</v>
      </c>
      <c r="C98" s="141">
        <v>0.252</v>
      </c>
      <c r="D98" s="141">
        <v>0.28399999999999997</v>
      </c>
    </row>
    <row r="100" spans="1:15" ht="19">
      <c r="A100" s="155" t="s">
        <v>371</v>
      </c>
    </row>
    <row r="102" spans="1:15">
      <c r="A102" s="136" t="s">
        <v>355</v>
      </c>
      <c r="B102" s="136" t="s">
        <v>351</v>
      </c>
      <c r="C102" s="136" t="s">
        <v>352</v>
      </c>
      <c r="D102" s="136" t="s">
        <v>392</v>
      </c>
      <c r="E102" s="136" t="s">
        <v>353</v>
      </c>
      <c r="F102" s="136" t="s">
        <v>354</v>
      </c>
      <c r="G102" s="136" t="s">
        <v>393</v>
      </c>
    </row>
    <row r="103" spans="1:15">
      <c r="A103" t="s">
        <v>13</v>
      </c>
      <c r="B103" s="141">
        <v>0.38100000000000001</v>
      </c>
      <c r="C103" s="141">
        <v>0.58299999999999996</v>
      </c>
      <c r="D103" s="141">
        <v>0.498</v>
      </c>
      <c r="E103" s="141">
        <v>0.35699999999999998</v>
      </c>
      <c r="F103" s="141">
        <v>0.38100000000000001</v>
      </c>
      <c r="G103" s="141">
        <v>0.374</v>
      </c>
    </row>
    <row r="104" spans="1:15">
      <c r="A104" t="s">
        <v>14</v>
      </c>
      <c r="B104" s="141">
        <v>0.39400000000000002</v>
      </c>
      <c r="C104" s="141">
        <v>0.27300000000000002</v>
      </c>
      <c r="D104" s="141">
        <v>0.32400000000000001</v>
      </c>
      <c r="E104" s="141">
        <v>0.61199999999999999</v>
      </c>
      <c r="F104" s="141">
        <v>0.53</v>
      </c>
      <c r="G104" s="141">
        <v>0.55300000000000005</v>
      </c>
    </row>
    <row r="105" spans="1:15">
      <c r="A105" t="s">
        <v>356</v>
      </c>
      <c r="B105" s="141">
        <v>0.22500000000000001</v>
      </c>
      <c r="C105" s="141">
        <v>0.14399999999999999</v>
      </c>
      <c r="D105" s="141">
        <v>0.17799999999999999</v>
      </c>
      <c r="E105" s="141">
        <v>3.1E-2</v>
      </c>
      <c r="F105" s="141">
        <v>8.8999999999999996E-2</v>
      </c>
      <c r="G105" s="141">
        <v>7.1999999999999995E-2</v>
      </c>
    </row>
    <row r="108" spans="1:15" ht="19">
      <c r="A108" s="155" t="s">
        <v>372</v>
      </c>
    </row>
    <row r="110" spans="1:15">
      <c r="A110" s="157" t="s">
        <v>373</v>
      </c>
    </row>
    <row r="112" spans="1:15">
      <c r="A112" s="136" t="s">
        <v>374</v>
      </c>
      <c r="B112" s="136" t="s">
        <v>351</v>
      </c>
      <c r="C112" s="136" t="s">
        <v>352</v>
      </c>
      <c r="D112" s="136" t="s">
        <v>353</v>
      </c>
      <c r="E112" s="136" t="s">
        <v>354</v>
      </c>
      <c r="I112" s="136" t="s">
        <v>374</v>
      </c>
      <c r="J112" s="136" t="s">
        <v>351</v>
      </c>
      <c r="K112" s="136" t="s">
        <v>352</v>
      </c>
      <c r="L112" s="136" t="s">
        <v>392</v>
      </c>
      <c r="M112" s="136" t="s">
        <v>353</v>
      </c>
      <c r="N112" s="136" t="s">
        <v>354</v>
      </c>
      <c r="O112" s="136" t="s">
        <v>393</v>
      </c>
    </row>
    <row r="113" spans="1:15">
      <c r="A113" t="s">
        <v>375</v>
      </c>
      <c r="B113" s="141">
        <v>0.53900000000000003</v>
      </c>
      <c r="C113" s="141">
        <v>0.38700000000000001</v>
      </c>
      <c r="D113" s="141">
        <v>0.42199999999999999</v>
      </c>
      <c r="E113" s="141">
        <v>0.217</v>
      </c>
      <c r="I113" t="s">
        <v>397</v>
      </c>
      <c r="J113" s="141">
        <v>0.53900000000000003</v>
      </c>
      <c r="K113" s="141">
        <v>0.38700000000000001</v>
      </c>
      <c r="L113" s="141">
        <v>0.45600000000000002</v>
      </c>
      <c r="M113" s="141">
        <v>0.42199999999999999</v>
      </c>
      <c r="N113" s="141">
        <v>0.217</v>
      </c>
      <c r="O113" s="141">
        <v>0.217</v>
      </c>
    </row>
    <row r="114" spans="1:15">
      <c r="A114" t="s">
        <v>376</v>
      </c>
      <c r="B114" s="141">
        <v>0.505</v>
      </c>
      <c r="C114" s="141">
        <v>0.48899999999999999</v>
      </c>
      <c r="D114" s="141">
        <v>0.33500000000000002</v>
      </c>
      <c r="E114" s="141">
        <v>0.26100000000000001</v>
      </c>
      <c r="I114" t="s">
        <v>398</v>
      </c>
      <c r="J114" s="141">
        <v>0.505</v>
      </c>
      <c r="K114" s="141">
        <v>0.48899999999999999</v>
      </c>
      <c r="L114" s="141">
        <v>0.496</v>
      </c>
      <c r="M114" s="141">
        <v>0.33500000000000002</v>
      </c>
      <c r="N114" s="141">
        <v>0.26100000000000001</v>
      </c>
      <c r="O114" s="141">
        <v>0.26100000000000001</v>
      </c>
    </row>
    <row r="115" spans="1:15">
      <c r="A115" t="s">
        <v>377</v>
      </c>
      <c r="B115" s="141">
        <v>0.45</v>
      </c>
      <c r="C115" s="141">
        <v>0.47899999999999998</v>
      </c>
      <c r="D115" s="141">
        <v>0.318</v>
      </c>
      <c r="E115" s="141">
        <v>0.16400000000000001</v>
      </c>
      <c r="I115" t="s">
        <v>399</v>
      </c>
      <c r="J115" s="141">
        <v>0.45</v>
      </c>
      <c r="K115" s="141">
        <v>0.47899999999999998</v>
      </c>
      <c r="L115" s="141">
        <v>0.46600000000000003</v>
      </c>
      <c r="M115" s="141">
        <v>0.318</v>
      </c>
      <c r="N115" s="141">
        <v>0.16400000000000001</v>
      </c>
      <c r="O115" s="141">
        <v>0.16400000000000001</v>
      </c>
    </row>
    <row r="116" spans="1:15">
      <c r="A116" t="s">
        <v>378</v>
      </c>
      <c r="B116" s="141">
        <v>0.46700000000000003</v>
      </c>
      <c r="C116" s="141">
        <v>0.48499999999999999</v>
      </c>
      <c r="D116" s="141">
        <v>0.316</v>
      </c>
      <c r="E116" s="141">
        <v>0.129</v>
      </c>
      <c r="I116" t="s">
        <v>400</v>
      </c>
      <c r="J116" s="141">
        <v>0.46700000000000003</v>
      </c>
      <c r="K116" s="141">
        <v>0.48499999999999999</v>
      </c>
      <c r="L116" s="141">
        <v>0.47699999999999998</v>
      </c>
      <c r="M116" s="141">
        <v>0.316</v>
      </c>
      <c r="N116" s="141">
        <v>0.129</v>
      </c>
      <c r="O116" s="141">
        <v>0.129</v>
      </c>
    </row>
    <row r="117" spans="1:15">
      <c r="A117" t="s">
        <v>379</v>
      </c>
      <c r="B117" s="141">
        <v>0.40300000000000002</v>
      </c>
      <c r="C117" s="141">
        <v>0.38600000000000001</v>
      </c>
      <c r="D117" s="158">
        <v>0.24199999999999999</v>
      </c>
      <c r="E117" s="141">
        <v>0.14299999999999999</v>
      </c>
      <c r="I117" t="s">
        <v>401</v>
      </c>
      <c r="J117" s="141">
        <v>0.40300000000000002</v>
      </c>
      <c r="K117" s="141">
        <v>0.38600000000000001</v>
      </c>
      <c r="L117" s="141">
        <v>0.39300000000000002</v>
      </c>
      <c r="M117" s="141">
        <v>0.24199999999999999</v>
      </c>
      <c r="N117" s="141">
        <v>0.14299999999999999</v>
      </c>
      <c r="O117" s="141">
        <v>0.14299999999999999</v>
      </c>
    </row>
    <row r="119" spans="1:15" ht="19">
      <c r="A119" s="155" t="s">
        <v>380</v>
      </c>
    </row>
    <row r="121" spans="1:15">
      <c r="A121" s="157" t="s">
        <v>373</v>
      </c>
    </row>
    <row r="123" spans="1:15">
      <c r="A123" s="136" t="s">
        <v>381</v>
      </c>
      <c r="B123" s="136" t="s">
        <v>351</v>
      </c>
      <c r="C123" s="136" t="s">
        <v>352</v>
      </c>
      <c r="D123" s="136" t="s">
        <v>353</v>
      </c>
      <c r="E123" s="136" t="s">
        <v>354</v>
      </c>
      <c r="I123" s="136" t="s">
        <v>374</v>
      </c>
      <c r="J123" s="136" t="s">
        <v>351</v>
      </c>
      <c r="K123" s="136" t="s">
        <v>352</v>
      </c>
      <c r="L123" s="136" t="s">
        <v>392</v>
      </c>
      <c r="M123" s="136" t="s">
        <v>353</v>
      </c>
      <c r="N123" s="136" t="s">
        <v>354</v>
      </c>
      <c r="O123" s="136" t="s">
        <v>393</v>
      </c>
    </row>
    <row r="124" spans="1:15">
      <c r="A124" t="s">
        <v>382</v>
      </c>
      <c r="B124" s="141">
        <v>0.501</v>
      </c>
      <c r="C124" s="141">
        <v>0.39900000000000002</v>
      </c>
      <c r="D124" s="141">
        <v>0.35199999999999998</v>
      </c>
      <c r="E124" s="141">
        <v>0.29199999999999998</v>
      </c>
      <c r="I124" t="s">
        <v>402</v>
      </c>
      <c r="J124" s="141">
        <v>0.501</v>
      </c>
      <c r="K124" s="141">
        <v>0.39900000000000002</v>
      </c>
      <c r="L124" s="141">
        <v>0.44400000000000001</v>
      </c>
      <c r="M124" s="141">
        <v>0.35199999999999998</v>
      </c>
      <c r="N124" s="141">
        <v>0.29199999999999998</v>
      </c>
      <c r="O124" s="141">
        <v>0.309</v>
      </c>
    </row>
    <row r="125" spans="1:15">
      <c r="A125" t="s">
        <v>383</v>
      </c>
      <c r="B125" s="141">
        <v>0.44500000000000001</v>
      </c>
      <c r="C125" s="141">
        <v>0.40100000000000002</v>
      </c>
      <c r="D125" s="141">
        <v>0.17499999999999999</v>
      </c>
      <c r="E125" s="141">
        <v>0.16400000000000001</v>
      </c>
      <c r="I125" t="s">
        <v>403</v>
      </c>
      <c r="J125" s="141">
        <v>0.44500000000000001</v>
      </c>
      <c r="K125" s="141">
        <v>0.40100000000000002</v>
      </c>
      <c r="L125" s="141">
        <v>0.42099999999999999</v>
      </c>
      <c r="M125" s="141">
        <v>0.17499999999999999</v>
      </c>
      <c r="N125" s="141">
        <v>0.16400000000000001</v>
      </c>
      <c r="O125" s="141">
        <v>0.16700000000000001</v>
      </c>
    </row>
    <row r="126" spans="1:15">
      <c r="A126" t="s">
        <v>384</v>
      </c>
      <c r="B126" s="141">
        <v>0.27500000000000002</v>
      </c>
      <c r="C126" s="141">
        <v>0.193</v>
      </c>
      <c r="D126" s="141">
        <v>7.4999999999999997E-2</v>
      </c>
      <c r="E126" s="141">
        <v>0.08</v>
      </c>
      <c r="I126" t="s">
        <v>404</v>
      </c>
      <c r="J126" s="141">
        <v>0.27500000000000002</v>
      </c>
      <c r="K126" s="141">
        <v>0.193</v>
      </c>
      <c r="L126" s="141">
        <v>0.23</v>
      </c>
      <c r="M126" s="141">
        <v>7.4999999999999997E-2</v>
      </c>
      <c r="N126" s="141">
        <v>0.08</v>
      </c>
      <c r="O126" s="141">
        <v>7.9000000000000001E-2</v>
      </c>
    </row>
    <row r="127" spans="1:15">
      <c r="A127" t="s">
        <v>385</v>
      </c>
      <c r="B127" s="141">
        <v>0.26100000000000001</v>
      </c>
      <c r="C127" s="141">
        <v>0.17100000000000001</v>
      </c>
      <c r="D127" s="141">
        <v>0.155</v>
      </c>
      <c r="E127" s="141">
        <v>0.113</v>
      </c>
      <c r="I127" t="s">
        <v>385</v>
      </c>
      <c r="J127" s="141">
        <v>0.26100000000000001</v>
      </c>
      <c r="K127" s="141">
        <v>0.17100000000000001</v>
      </c>
      <c r="L127" s="141">
        <v>0.21</v>
      </c>
      <c r="M127" s="141">
        <v>0.155</v>
      </c>
      <c r="N127" s="141">
        <v>0.113</v>
      </c>
      <c r="O127" s="141">
        <v>0.125</v>
      </c>
    </row>
    <row r="128" spans="1:15">
      <c r="A128" t="s">
        <v>386</v>
      </c>
      <c r="B128" s="141">
        <v>0.34</v>
      </c>
      <c r="C128" s="141">
        <v>0.183</v>
      </c>
      <c r="D128" s="141">
        <v>0.19600000000000001</v>
      </c>
      <c r="E128" s="141">
        <v>0.11899999999999999</v>
      </c>
      <c r="I128" t="s">
        <v>405</v>
      </c>
      <c r="J128" s="141">
        <v>0.34</v>
      </c>
      <c r="K128" s="141">
        <v>0.183</v>
      </c>
      <c r="L128" s="141">
        <v>0.252</v>
      </c>
      <c r="M128" s="141">
        <v>0.19600000000000001</v>
      </c>
      <c r="N128" s="141">
        <v>0.11899999999999999</v>
      </c>
      <c r="O128" s="141">
        <v>0.14099999999999999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APS 2025 C1</vt:lpstr>
      <vt:lpstr>NES 2025 C1</vt:lpstr>
      <vt:lpstr>APS 2025 C2 - EXTREMADURA</vt:lpstr>
      <vt:lpstr>APS 2025 C3</vt:lpstr>
      <vt:lpstr>APS 2025 C3.2</vt:lpstr>
      <vt:lpstr>APS 2025 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Adelaida Mariño</dc:creator>
  <cp:lastModifiedBy>Adelaida Mariño</cp:lastModifiedBy>
  <dcterms:created xsi:type="dcterms:W3CDTF">2026-03-24T18:48:53Z</dcterms:created>
  <dcterms:modified xsi:type="dcterms:W3CDTF">2026-06-16T16:57:25Z</dcterms:modified>
</cp:coreProperties>
</file>